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sap\Documents\programming-projects\coffee-menu\"/>
    </mc:Choice>
  </mc:AlternateContent>
  <xr:revisionPtr revIDLastSave="0" documentId="13_ncr:1_{5E6167D3-35C7-48C6-956F-70556C6D7074}" xr6:coauthVersionLast="47" xr6:coauthVersionMax="47" xr10:uidLastSave="{00000000-0000-0000-0000-000000000000}"/>
  <bookViews>
    <workbookView xWindow="2064" yWindow="2076" windowWidth="17280" windowHeight="8880" xr2:uid="{00000000-000D-0000-FFFF-FFFF00000000}"/>
  </bookViews>
  <sheets>
    <sheet name="Cafe Menu Data" sheetId="1" r:id="rId1"/>
  </sheets>
  <definedNames>
    <definedName name="_xlnm._FilterDatabase" localSheetId="0" hidden="1">'Cafe Menu Data'!$A$1:$G$137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NFfkAZXPq+lPYo+bGPN/tvOfeYaH748aVJPO0mVLfE="/>
    </ext>
  </extLst>
</workbook>
</file>

<file path=xl/calcChain.xml><?xml version="1.0" encoding="utf-8"?>
<calcChain xmlns="http://schemas.openxmlformats.org/spreadsheetml/2006/main">
  <c r="F10" i="1" l="1"/>
  <c r="F6" i="1"/>
  <c r="F91" i="1"/>
  <c r="F68" i="1"/>
  <c r="F67" i="1"/>
  <c r="F100" i="1"/>
  <c r="F111" i="1"/>
  <c r="F113" i="1"/>
  <c r="F8" i="1"/>
  <c r="F85" i="1"/>
  <c r="F40" i="1"/>
  <c r="F74" i="1"/>
  <c r="F112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50" i="1"/>
  <c r="F49" i="1"/>
  <c r="F48" i="1"/>
  <c r="F47" i="1"/>
  <c r="F46" i="1"/>
  <c r="F45" i="1"/>
  <c r="F44" i="1"/>
  <c r="F43" i="1"/>
  <c r="F42" i="1"/>
  <c r="F103" i="1"/>
  <c r="F102" i="1"/>
  <c r="F101" i="1"/>
  <c r="F99" i="1"/>
  <c r="F122" i="1"/>
  <c r="F121" i="1"/>
  <c r="F120" i="1"/>
  <c r="F119" i="1"/>
  <c r="F118" i="1"/>
  <c r="F117" i="1"/>
  <c r="F116" i="1"/>
  <c r="F115" i="1"/>
  <c r="F114" i="1"/>
  <c r="F110" i="1"/>
  <c r="F109" i="1"/>
  <c r="F108" i="1"/>
  <c r="F107" i="1"/>
  <c r="F106" i="1"/>
  <c r="F105" i="1"/>
  <c r="F104" i="1"/>
  <c r="F41" i="1"/>
  <c r="F39" i="1"/>
  <c r="F38" i="1"/>
  <c r="F37" i="1"/>
  <c r="F36" i="1"/>
  <c r="F35" i="1"/>
  <c r="F34" i="1"/>
  <c r="F69" i="1"/>
  <c r="F66" i="1"/>
  <c r="F87" i="1"/>
  <c r="F86" i="1"/>
  <c r="F84" i="1"/>
  <c r="F83" i="1"/>
  <c r="F82" i="1"/>
  <c r="F81" i="1"/>
  <c r="F80" i="1"/>
  <c r="F79" i="1"/>
  <c r="F5" i="1"/>
  <c r="F4" i="1"/>
  <c r="F3" i="1"/>
  <c r="F2" i="1"/>
  <c r="F98" i="1"/>
  <c r="F97" i="1"/>
  <c r="F96" i="1"/>
  <c r="F95" i="1"/>
  <c r="F94" i="1"/>
  <c r="F93" i="1"/>
  <c r="F92" i="1"/>
  <c r="F90" i="1"/>
  <c r="F14" i="1"/>
  <c r="F13" i="1"/>
  <c r="F12" i="1"/>
  <c r="F11" i="1"/>
  <c r="F9" i="1"/>
  <c r="F7" i="1"/>
  <c r="F89" i="1"/>
  <c r="F88" i="1"/>
  <c r="F65" i="1"/>
  <c r="F64" i="1"/>
  <c r="F63" i="1"/>
  <c r="F62" i="1"/>
  <c r="F57" i="1"/>
  <c r="F61" i="1"/>
  <c r="F60" i="1"/>
  <c r="F59" i="1"/>
  <c r="F58" i="1"/>
  <c r="F56" i="1"/>
  <c r="F55" i="1"/>
  <c r="F54" i="1"/>
  <c r="F53" i="1"/>
  <c r="F52" i="1"/>
  <c r="F51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73" i="1"/>
  <c r="F72" i="1"/>
  <c r="F71" i="1"/>
  <c r="F70" i="1"/>
  <c r="F78" i="1"/>
  <c r="F77" i="1"/>
  <c r="F76" i="1"/>
  <c r="F75" i="1"/>
</calcChain>
</file>

<file path=xl/sharedStrings.xml><?xml version="1.0" encoding="utf-8"?>
<sst xmlns="http://schemas.openxmlformats.org/spreadsheetml/2006/main" count="605" uniqueCount="345">
  <si>
    <t>Category</t>
  </si>
  <si>
    <t>Name (EN)</t>
  </si>
  <si>
    <t>Description / Ingredients</t>
  </si>
  <si>
    <t>Name (BG)</t>
  </si>
  <si>
    <t>Volume / Weight</t>
  </si>
  <si>
    <t>Price (BGN)</t>
  </si>
  <si>
    <t>Price (EUR)</t>
  </si>
  <si>
    <t>Десерти / Desserts</t>
  </si>
  <si>
    <t>ванилия, шоколад, ягода / vanilla, choco, strawberry</t>
  </si>
  <si>
    <t>300 мл.</t>
  </si>
  <si>
    <t>Sundae Kris</t>
  </si>
  <si>
    <t>Мелба Крис</t>
  </si>
  <si>
    <t>Sundae Banana</t>
  </si>
  <si>
    <t>Мелба Банан</t>
  </si>
  <si>
    <t>Fruit Salad</t>
  </si>
  <si>
    <t>Плодова Салата</t>
  </si>
  <si>
    <t>Водка &amp; Джин / Vodka &amp; Gin</t>
  </si>
  <si>
    <t>Imported Gin</t>
  </si>
  <si>
    <t>Джин Внос</t>
  </si>
  <si>
    <t>50 мл.</t>
  </si>
  <si>
    <t>Imported Vodka</t>
  </si>
  <si>
    <t>Водка Внос</t>
  </si>
  <si>
    <t>Vodka BG</t>
  </si>
  <si>
    <t>Водка БГ</t>
  </si>
  <si>
    <t>Gin BG</t>
  </si>
  <si>
    <t>Джин БГ</t>
  </si>
  <si>
    <t>Уиски / Whiskey</t>
  </si>
  <si>
    <t>Johnnie Walker</t>
  </si>
  <si>
    <t>Джони Уокър</t>
  </si>
  <si>
    <t>100 Pipers</t>
  </si>
  <si>
    <t>100 Гайди</t>
  </si>
  <si>
    <t>Balantines</t>
  </si>
  <si>
    <t>Балантайс</t>
  </si>
  <si>
    <t>Chivas Regal</t>
  </si>
  <si>
    <t>Чивас Регал</t>
  </si>
  <si>
    <t>J&amp;B</t>
  </si>
  <si>
    <t>Tullamore Dew</t>
  </si>
  <si>
    <t>Тюламор Дю</t>
  </si>
  <si>
    <t>Jameson</t>
  </si>
  <si>
    <t>Джеймисън</t>
  </si>
  <si>
    <t>Bushmills</t>
  </si>
  <si>
    <t>Бушмилс</t>
  </si>
  <si>
    <t>Jack Daniels</t>
  </si>
  <si>
    <t>Джак Даниелс</t>
  </si>
  <si>
    <t>Jim Beam</t>
  </si>
  <si>
    <t>Джим Бийм</t>
  </si>
  <si>
    <t>4 Roses</t>
  </si>
  <si>
    <t>4 Рози</t>
  </si>
  <si>
    <t>Ядки / Nuts</t>
  </si>
  <si>
    <t>Peanuts</t>
  </si>
  <si>
    <t>Фъстъци</t>
  </si>
  <si>
    <t>70 гр.</t>
  </si>
  <si>
    <t>Almonds</t>
  </si>
  <si>
    <t>Бадеми</t>
  </si>
  <si>
    <t>Cashew</t>
  </si>
  <si>
    <t>Кашу</t>
  </si>
  <si>
    <t>Бира / Beer</t>
  </si>
  <si>
    <t>Shumensko Draft</t>
  </si>
  <si>
    <t>Шуменско Наливно</t>
  </si>
  <si>
    <t>330 мл.</t>
  </si>
  <si>
    <t>500 мл.</t>
  </si>
  <si>
    <t>Shumensko</t>
  </si>
  <si>
    <t>Шуменско</t>
  </si>
  <si>
    <t>Shumensko Special</t>
  </si>
  <si>
    <t>Шуменско Бомбичка</t>
  </si>
  <si>
    <t>Pirinsko</t>
  </si>
  <si>
    <t>Пиринско</t>
  </si>
  <si>
    <t>Pirinsko Young Beer</t>
  </si>
  <si>
    <t>Пиринско Младо Пиво</t>
  </si>
  <si>
    <t>Tuborg</t>
  </si>
  <si>
    <t>Туборг</t>
  </si>
  <si>
    <t>Budweiser Budwar</t>
  </si>
  <si>
    <t>Carlsberg</t>
  </si>
  <si>
    <t>Карлсберг</t>
  </si>
  <si>
    <t>Zatetski Hus</t>
  </si>
  <si>
    <t>Жатецки Хус</t>
  </si>
  <si>
    <t>Burgasko, Kamenitza, Zagorka</t>
  </si>
  <si>
    <t>Бургаско, Каменица, Загорка</t>
  </si>
  <si>
    <t>Carlsberg Non-Alcoholic</t>
  </si>
  <si>
    <t>Карлсберг Безалкохолна</t>
  </si>
  <si>
    <t>Somersby</t>
  </si>
  <si>
    <t>Самърсби</t>
  </si>
  <si>
    <t>Вермут / Vermouth</t>
  </si>
  <si>
    <t>Campari</t>
  </si>
  <si>
    <t>Кампари</t>
  </si>
  <si>
    <t>Martini Bianco, Dry</t>
  </si>
  <si>
    <t>Мартини Бяло, Драй</t>
  </si>
  <si>
    <t>Ром / Rum</t>
  </si>
  <si>
    <t>бял, червен / white, red</t>
  </si>
  <si>
    <t>Bacardi</t>
  </si>
  <si>
    <t>Бакарди</t>
  </si>
  <si>
    <t>Алкохол / Alcohol</t>
  </si>
  <si>
    <t>Brandy Pliska</t>
  </si>
  <si>
    <t>25 мл.</t>
  </si>
  <si>
    <t>Branded Rakia</t>
  </si>
  <si>
    <t>Ракия Маркова</t>
  </si>
  <si>
    <t>Ordinary Rakia</t>
  </si>
  <si>
    <t>Ракия Обикновена</t>
  </si>
  <si>
    <t>Студени Напитки / Cold Drinks</t>
  </si>
  <si>
    <t>Frappe with milk</t>
  </si>
  <si>
    <t>Фрапе с мляко</t>
  </si>
  <si>
    <t>Black Frappe</t>
  </si>
  <si>
    <t>Черно фрапе</t>
  </si>
  <si>
    <t>Fresh Orange</t>
  </si>
  <si>
    <t>Фреш портокал</t>
  </si>
  <si>
    <t>Fresh Grapefruit</t>
  </si>
  <si>
    <t>Фреш грейпфрут</t>
  </si>
  <si>
    <t>Fresh Mix</t>
  </si>
  <si>
    <t>Фреш микс</t>
  </si>
  <si>
    <t>Red Bull Can</t>
  </si>
  <si>
    <t>Ред Бул Кен</t>
  </si>
  <si>
    <t>Protein Shake</t>
  </si>
  <si>
    <t>бисквитка, шоколад, ягода, банан / cookie, chocolate, strawberry, banana</t>
  </si>
  <si>
    <t>Протеинов Шейк</t>
  </si>
  <si>
    <t>Milkshake</t>
  </si>
  <si>
    <t>ягода, банан, ванилия, шоколад / strawberry, banana, vanilla, chocolate</t>
  </si>
  <si>
    <t>Млечен Шейк</t>
  </si>
  <si>
    <t>Айс Напитки / Iced Drinks</t>
  </si>
  <si>
    <t>Ice Coca-Cola</t>
  </si>
  <si>
    <t>Айс Кола</t>
  </si>
  <si>
    <t>Ice Nectar</t>
  </si>
  <si>
    <t>Айс Нектар</t>
  </si>
  <si>
    <t>Ice Coffee</t>
  </si>
  <si>
    <t>Айс Кафе</t>
  </si>
  <si>
    <t>250 мл.</t>
  </si>
  <si>
    <t>Ice Frappe</t>
  </si>
  <si>
    <t>Айс Фрапе</t>
  </si>
  <si>
    <t>Ликьори / Liqueurs</t>
  </si>
  <si>
    <t>Bayleys</t>
  </si>
  <si>
    <t>Бейлис</t>
  </si>
  <si>
    <t>Malibu</t>
  </si>
  <si>
    <t>Малибу</t>
  </si>
  <si>
    <t>Schnaps</t>
  </si>
  <si>
    <t>праскова, кокос / peach, coconut</t>
  </si>
  <si>
    <t>Шнапс</t>
  </si>
  <si>
    <t>Mint</t>
  </si>
  <si>
    <t>Мента</t>
  </si>
  <si>
    <t>Tia Maria</t>
  </si>
  <si>
    <t>Тия Мария</t>
  </si>
  <si>
    <t>Margot</t>
  </si>
  <si>
    <t>Маргот</t>
  </si>
  <si>
    <t>Kahlua</t>
  </si>
  <si>
    <t>Калуа</t>
  </si>
  <si>
    <t>Jagermaister</t>
  </si>
  <si>
    <t>Йегермайстер</t>
  </si>
  <si>
    <t>Вино / Wine</t>
  </si>
  <si>
    <t>Chardonnay, Traminer (Glass)</t>
  </si>
  <si>
    <t>Бяло вино / White wine</t>
  </si>
  <si>
    <t>Шардоне, Траминер (Чаша)</t>
  </si>
  <si>
    <t>150 мл.</t>
  </si>
  <si>
    <t>Cabernet, Merlot (Glass)</t>
  </si>
  <si>
    <t>Червено вино / Red wine</t>
  </si>
  <si>
    <t>Каберне, Мерло (Чаша)</t>
  </si>
  <si>
    <t>Безалкохолни Коктейли / Mocktails</t>
  </si>
  <si>
    <t>Non-Alcoholic Mint</t>
  </si>
  <si>
    <t>безалкохолна мента, спрайт / non-alcoholic mint, sprite</t>
  </si>
  <si>
    <t>Безалкохолна Мента</t>
  </si>
  <si>
    <t>Tropical</t>
  </si>
  <si>
    <t>безалкохолна мента, мляко / non-alcoholic mint, milk</t>
  </si>
  <si>
    <t>Тропикал</t>
  </si>
  <si>
    <t>Tropical 2</t>
  </si>
  <si>
    <t>сок портокал, сок праскова, гренадин / orange juice, peach juice, grenadine</t>
  </si>
  <si>
    <t>Тропикал 2</t>
  </si>
  <si>
    <t>Citronade</t>
  </si>
  <si>
    <t>фреш лимон, захарен сироп, сода / lemon fresh, sugar syrup, soda</t>
  </si>
  <si>
    <t>Цитронада</t>
  </si>
  <si>
    <t>Orangeade</t>
  </si>
  <si>
    <t>фреш портокал, захарен сироп, сода / orange fresh, sugar syrup, soda</t>
  </si>
  <si>
    <t>Оранжада</t>
  </si>
  <si>
    <t>Non-Alcoholic Mojito</t>
  </si>
  <si>
    <t>мента, сироп мохито, сода / mint, mojito syrup, soda</t>
  </si>
  <si>
    <t>Безалкохолно Мохито</t>
  </si>
  <si>
    <t>Lemonade</t>
  </si>
  <si>
    <t>бъз, лайм, ягода, мента, малина, горски плод, праскова / elderberry, lime, strawberry, mint, raspberry, forest fruit, peach</t>
  </si>
  <si>
    <t>Лимонада</t>
  </si>
  <si>
    <t>400 мл.</t>
  </si>
  <si>
    <t>Топли Напитки / Hot Drinks</t>
  </si>
  <si>
    <t>Кафе "Спетема"</t>
  </si>
  <si>
    <t>60 мл.</t>
  </si>
  <si>
    <t>Coffee Espresso Lavazza</t>
  </si>
  <si>
    <t>Decaffeinated Coffee</t>
  </si>
  <si>
    <t>Кафе Без Кофеин</t>
  </si>
  <si>
    <t>Vienesse Coffee</t>
  </si>
  <si>
    <t>Виенско Кафе</t>
  </si>
  <si>
    <t>100 мл.</t>
  </si>
  <si>
    <t>Bailey's Coffee</t>
  </si>
  <si>
    <t>кафе, бейлис, сметана / coffee, Baileys, cream</t>
  </si>
  <si>
    <t>Бейлис Кафе</t>
  </si>
  <si>
    <t>200 мл.</t>
  </si>
  <si>
    <t>Irish Coffee</t>
  </si>
  <si>
    <t>кафе, уиски, сметана / coffee, whiskey, cream</t>
  </si>
  <si>
    <t>Ирландско Кафе</t>
  </si>
  <si>
    <t>Nescafe</t>
  </si>
  <si>
    <t>Нескафе</t>
  </si>
  <si>
    <t>Cappuccino</t>
  </si>
  <si>
    <t>Капучино</t>
  </si>
  <si>
    <t>Matcha Cappuccino</t>
  </si>
  <si>
    <t>Матча Капучино</t>
  </si>
  <si>
    <t>Latte</t>
  </si>
  <si>
    <t>Лате</t>
  </si>
  <si>
    <t>Coffee with milk</t>
  </si>
  <si>
    <t>Кафе с мляко</t>
  </si>
  <si>
    <t>Milk with cocoa</t>
  </si>
  <si>
    <t>Мляко с какао</t>
  </si>
  <si>
    <t>3in1</t>
  </si>
  <si>
    <t>3в1</t>
  </si>
  <si>
    <t>Herbal Tea</t>
  </si>
  <si>
    <t>Чай Билков</t>
  </si>
  <si>
    <t>Fruit Tea</t>
  </si>
  <si>
    <t>Чай Плодов</t>
  </si>
  <si>
    <t>English Black Tea</t>
  </si>
  <si>
    <t>Английски Черен Чай</t>
  </si>
  <si>
    <t>Топли Напитки (Ядково Мляко)</t>
  </si>
  <si>
    <t>овес, бадем, кокос / oat, almond, coconut</t>
  </si>
  <si>
    <t>Milk with Nescafe</t>
  </si>
  <si>
    <t>Мляко с нес</t>
  </si>
  <si>
    <t>Безалкохолни Напитки / Soft Drinks</t>
  </si>
  <si>
    <t>Coca-Cola Products</t>
  </si>
  <si>
    <t>Кока Кола Продукти</t>
  </si>
  <si>
    <t>Coca-Cola Products Can</t>
  </si>
  <si>
    <t>Кока Кола Продукти Кен</t>
  </si>
  <si>
    <t>Coca-Cola Products PET</t>
  </si>
  <si>
    <t>Кока Кола Продукти ПВЦ</t>
  </si>
  <si>
    <t>Soda</t>
  </si>
  <si>
    <t>Газирана Вода</t>
  </si>
  <si>
    <t>Mineral Water</t>
  </si>
  <si>
    <t>Минерална Вода</t>
  </si>
  <si>
    <t>Natural Juice</t>
  </si>
  <si>
    <t>Сок "Cappy"</t>
  </si>
  <si>
    <t>Tomato Juice</t>
  </si>
  <si>
    <t>Доматен Сок</t>
  </si>
  <si>
    <t>Ice Tea Fuzetea</t>
  </si>
  <si>
    <t>манго и ананас, праскова, лимон, горски плод / mango &amp; pineapple, peach, lemon, forest fruits</t>
  </si>
  <si>
    <t>Студен Чай Fuzetea</t>
  </si>
  <si>
    <t>Алкохолни Коктейли / Cocktails</t>
  </si>
  <si>
    <t>Tequila Sunrise</t>
  </si>
  <si>
    <t>текила, сок портокал, гренадин / tequila, orange juice, grenadine</t>
  </si>
  <si>
    <t>Текила Сънрайз</t>
  </si>
  <si>
    <t>Margarita</t>
  </si>
  <si>
    <t>текила, коантро, лимонов сок / tequila, cointreau, lemon juice</t>
  </si>
  <si>
    <t>Маргарита</t>
  </si>
  <si>
    <t>Santo Libre</t>
  </si>
  <si>
    <t>текила, кола, лимонов сок / tequila, cola, lemon juice</t>
  </si>
  <si>
    <t>Санто Либре</t>
  </si>
  <si>
    <t>Green Poison</t>
  </si>
  <si>
    <t>текила, портокал, лимонов сок, кюрасо, ананас / tequila, orange, lemon juice, curacao, pineapple</t>
  </si>
  <si>
    <t>Зелена Отрова</t>
  </si>
  <si>
    <t>Blue Lagoon</t>
  </si>
  <si>
    <t>водка, кюрасо, спрайт, лед / vodka, curacao, sprite, ice</t>
  </si>
  <si>
    <t>Синя Лагуна</t>
  </si>
  <si>
    <t>Bloody Mary</t>
  </si>
  <si>
    <t>водка, доматен сок, лимонов сок, табаско, лед / vodka, tomato juice, lemon juice, tabasco, ice</t>
  </si>
  <si>
    <t>Блъди Мери</t>
  </si>
  <si>
    <t>Sex on the Beach</t>
  </si>
  <si>
    <t>Секс на Плажа</t>
  </si>
  <si>
    <t>Tom Collins</t>
  </si>
  <si>
    <t>водка, фреш лимон, сода, захарен сироп / vodka, lemon fresh, soda, sugar syrup</t>
  </si>
  <si>
    <t>Том Колинс</t>
  </si>
  <si>
    <t>Aperol Spritz</t>
  </si>
  <si>
    <t>Аперол Шприц</t>
  </si>
  <si>
    <t>Daiquiri with Rum</t>
  </si>
  <si>
    <t>ром, лимонов сок, захарен сироп, натрошен лед / rum, lemon juice, sugar suryp, crushed ice</t>
  </si>
  <si>
    <t>Дайкири с Ром</t>
  </si>
  <si>
    <t>Cuba Libre</t>
  </si>
  <si>
    <t>ром, лимонов сок, кола, лед / rum, lemon juice, cola, ice</t>
  </si>
  <si>
    <t>Куба Либре</t>
  </si>
  <si>
    <t>Strawberry Daiquiri</t>
  </si>
  <si>
    <t>ром, лимонов сок, захарен сироп, сироп ягода / rum, lemon juice, sugar syrup, strawberry syrup</t>
  </si>
  <si>
    <t>Ягодово Дайкири</t>
  </si>
  <si>
    <t>Pina Colada</t>
  </si>
  <si>
    <t>ром, кокосов ликьор, ананасов сок, лед, сметана / rum, coconut liqueur, pineapple juice, ice, cream</t>
  </si>
  <si>
    <t>Пина Колада</t>
  </si>
  <si>
    <t>Pink Rum</t>
  </si>
  <si>
    <t>ром, тоник, лимонов сок, гренадин / rum, tonic, lemon juice, grenadine</t>
  </si>
  <si>
    <t>Розов Ром</t>
  </si>
  <si>
    <t>Mojito</t>
  </si>
  <si>
    <t>Мохито</t>
  </si>
  <si>
    <t>Chris</t>
  </si>
  <si>
    <t>джин, кокос, ананас, тоник / gin, coconut, pineapple, tonic</t>
  </si>
  <si>
    <t>Крис</t>
  </si>
  <si>
    <t>Gin Fizz</t>
  </si>
  <si>
    <t>джин, лимонов сок, сода, лед / gin, lemon juice, soda, ice</t>
  </si>
  <si>
    <t>Джин Фис</t>
  </si>
  <si>
    <t>Martini</t>
  </si>
  <si>
    <t>джин, Мартини, лимонов сок / gin, martini, lemon juice</t>
  </si>
  <si>
    <t>Мартини</t>
  </si>
  <si>
    <t>Campari Orange</t>
  </si>
  <si>
    <t>Кампари, сок портокал / Campari, orange juice</t>
  </si>
  <si>
    <t>Кампари Ориндж</t>
  </si>
  <si>
    <t>Coffee Espresso "Spetema"</t>
  </si>
  <si>
    <t>Кафе "Лаваца"</t>
  </si>
  <si>
    <t>Flavored Cappuccino/Latte</t>
  </si>
  <si>
    <t>Капучино/Лате с вкус</t>
  </si>
  <si>
    <t>350 гр.</t>
  </si>
  <si>
    <t>Будвайзер Будвайсер</t>
  </si>
  <si>
    <t>Ice Cream ball</t>
  </si>
  <si>
    <t>Топка сладолед</t>
  </si>
  <si>
    <t>Сладолед (3 топки)</t>
  </si>
  <si>
    <t>Ice Cream (3 scoops)</t>
  </si>
  <si>
    <t>Ром</t>
  </si>
  <si>
    <t>Rum</t>
  </si>
  <si>
    <t>Уиски</t>
  </si>
  <si>
    <t>Whiskey</t>
  </si>
  <si>
    <t>Уйски Внос / Import Whiskey</t>
  </si>
  <si>
    <t>Бира Внос / Import Beer</t>
  </si>
  <si>
    <t>Ouzo Plomari / Ouzo "12"</t>
  </si>
  <si>
    <t>Узо Пломари / Узо "12"</t>
  </si>
  <si>
    <t>Аперол Шпритс, Сода, Розе / Aperol Spritz, Sparkling Water, Rose wine</t>
  </si>
  <si>
    <t>водка, шнапс портокал, гренадин / vodka, schnapps, grenadine</t>
  </si>
  <si>
    <t>Chardonnay, Traminer (Bottle)</t>
  </si>
  <si>
    <t>Шардоне, Траминер (Бутилка)</t>
  </si>
  <si>
    <t>750 мл.</t>
  </si>
  <si>
    <t>Бяло вино Бутилка / White wine Bottle</t>
  </si>
  <si>
    <t>Lemonade (Sugar Free)</t>
  </si>
  <si>
    <t>Лимонада Без захар</t>
  </si>
  <si>
    <t>бъз, лайм, малина, боровинка, манго, ягода / elderberry, lime, raspberry, blueberry, mango, Strawberry</t>
  </si>
  <si>
    <t>бял / white</t>
  </si>
  <si>
    <t>Carolans</t>
  </si>
  <si>
    <t>Кароланс</t>
  </si>
  <si>
    <t>Ирландски ликьор / Irish cream liquor</t>
  </si>
  <si>
    <t>Шоколадов ликьор / Chocolate liquor</t>
  </si>
  <si>
    <t>Ликьор от кафе от студена екстракция / Cold Brew coffee liqueur</t>
  </si>
  <si>
    <t>Кокосов ликьор / Coconut Liquor</t>
  </si>
  <si>
    <t xml:space="preserve">Мелба с банани / Banana sundae </t>
  </si>
  <si>
    <t>Мелба със сезонни плодове / Seasonal fruits sundae</t>
  </si>
  <si>
    <t>Прясно изцеден сок / Freshly squeezed juice</t>
  </si>
  <si>
    <t>Metaxa</t>
  </si>
  <si>
    <t>Метакса</t>
  </si>
  <si>
    <t>Cappuccino with Nescafe</t>
  </si>
  <si>
    <t>Капучино с Nescafe</t>
  </si>
  <si>
    <t>Hot Chocolate</t>
  </si>
  <si>
    <t>Горещ шоколад</t>
  </si>
  <si>
    <t>150мл.</t>
  </si>
  <si>
    <t xml:space="preserve">Лате </t>
  </si>
  <si>
    <t>Мастика</t>
  </si>
  <si>
    <t>Mastika</t>
  </si>
  <si>
    <t>Frappe with plant-based milk</t>
  </si>
  <si>
    <t>Фрапе с ядково мляко</t>
  </si>
  <si>
    <t>Pernod</t>
  </si>
  <si>
    <t>Перно</t>
  </si>
  <si>
    <t>Brandy Slantchew Brjag</t>
  </si>
  <si>
    <t>Коняк Плиска</t>
  </si>
  <si>
    <t>Коняк "Слънчев Бряг"</t>
  </si>
  <si>
    <t>Tequila</t>
  </si>
  <si>
    <t>Текила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</si>
</sst>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4" fontId="2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"/>
  <sheetViews>
    <sheetView tabSelected="1" zoomScale="85" zoomScaleNormal="85" workbookViewId="0">
      <pane ySplit="1" topLeftCell="A2" activePane="bottomLeft" state="frozen"/>
      <selection pane="bottomLeft" activeCell="D13" sqref="D13"/>
    </sheetView>
  </sheetViews>
  <sheetFormatPr defaultColWidth="14.44140625" defaultRowHeight="15" customHeight="1" x14ac:dyDescent="0.3"/>
  <cols>
    <col min="1" max="1" width="36" customWidth="1"/>
    <col min="2" max="2" width="45" customWidth="1"/>
    <col min="3" max="4" width="30" customWidth="1"/>
    <col min="5" max="5" width="18.6640625" customWidth="1"/>
    <col min="6" max="7" width="12" customWidth="1"/>
    <col min="8" max="26" width="8.6640625" customWidth="1"/>
  </cols>
  <sheetData>
    <row r="1" spans="1:7" ht="14.4" x14ac:dyDescent="0.3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2" t="s">
        <v>117</v>
      </c>
      <c r="B2" s="3"/>
      <c r="C2" s="2" t="s">
        <v>118</v>
      </c>
      <c r="D2" s="2" t="s">
        <v>119</v>
      </c>
      <c r="E2" s="2" t="s">
        <v>9</v>
      </c>
      <c r="F2" s="4">
        <f t="shared" ref="F2:F36" si="0">IF(ISNUMBER(G2), ROUND(G2*1.95583, 2), "")</f>
        <v>6.85</v>
      </c>
      <c r="G2" s="4">
        <v>3.5</v>
      </c>
    </row>
    <row r="3" spans="1:7" ht="14.4" x14ac:dyDescent="0.3">
      <c r="A3" s="2" t="s">
        <v>117</v>
      </c>
      <c r="B3" s="3"/>
      <c r="C3" s="2" t="s">
        <v>120</v>
      </c>
      <c r="D3" s="2" t="s">
        <v>121</v>
      </c>
      <c r="E3" s="2" t="s">
        <v>9</v>
      </c>
      <c r="F3" s="4">
        <f t="shared" si="0"/>
        <v>6.85</v>
      </c>
      <c r="G3" s="4">
        <v>3.5</v>
      </c>
    </row>
    <row r="4" spans="1:7" ht="14.4" x14ac:dyDescent="0.3">
      <c r="A4" s="2" t="s">
        <v>117</v>
      </c>
      <c r="B4" s="3"/>
      <c r="C4" s="2" t="s">
        <v>122</v>
      </c>
      <c r="D4" s="2" t="s">
        <v>123</v>
      </c>
      <c r="E4" s="2" t="s">
        <v>124</v>
      </c>
      <c r="F4" s="4">
        <f t="shared" si="0"/>
        <v>6.85</v>
      </c>
      <c r="G4" s="4">
        <v>3.5</v>
      </c>
    </row>
    <row r="5" spans="1:7" ht="14.4" x14ac:dyDescent="0.3">
      <c r="A5" s="2" t="s">
        <v>117</v>
      </c>
      <c r="B5" s="3"/>
      <c r="C5" s="2" t="s">
        <v>125</v>
      </c>
      <c r="D5" s="2" t="s">
        <v>126</v>
      </c>
      <c r="E5" s="2" t="s">
        <v>9</v>
      </c>
      <c r="F5" s="4">
        <f t="shared" si="0"/>
        <v>6.85</v>
      </c>
      <c r="G5" s="4">
        <v>3.5</v>
      </c>
    </row>
    <row r="6" spans="1:7" ht="14.4" x14ac:dyDescent="0.3">
      <c r="A6" s="2" t="s">
        <v>91</v>
      </c>
      <c r="B6" s="3"/>
      <c r="C6" s="2" t="s">
        <v>338</v>
      </c>
      <c r="D6" s="2" t="s">
        <v>339</v>
      </c>
      <c r="E6" s="2"/>
      <c r="F6" s="4">
        <f t="shared" si="0"/>
        <v>3.91</v>
      </c>
      <c r="G6" s="4">
        <v>2</v>
      </c>
    </row>
    <row r="7" spans="1:7" ht="14.4" x14ac:dyDescent="0.3">
      <c r="A7" s="2" t="s">
        <v>91</v>
      </c>
      <c r="B7" s="3"/>
      <c r="C7" s="2" t="s">
        <v>335</v>
      </c>
      <c r="D7" s="2" t="s">
        <v>334</v>
      </c>
      <c r="E7" s="2" t="s">
        <v>19</v>
      </c>
      <c r="F7" s="4">
        <f t="shared" si="0"/>
        <v>2.93</v>
      </c>
      <c r="G7" s="4">
        <v>1.5</v>
      </c>
    </row>
    <row r="8" spans="1:7" ht="14.4" x14ac:dyDescent="0.3">
      <c r="A8" s="2" t="s">
        <v>91</v>
      </c>
      <c r="B8" s="3"/>
      <c r="C8" s="2" t="s">
        <v>326</v>
      </c>
      <c r="D8" s="2" t="s">
        <v>327</v>
      </c>
      <c r="E8" s="2" t="s">
        <v>19</v>
      </c>
      <c r="F8" s="4">
        <f t="shared" si="0"/>
        <v>5.87</v>
      </c>
      <c r="G8" s="4">
        <v>3</v>
      </c>
    </row>
    <row r="9" spans="1:7" ht="14.4" x14ac:dyDescent="0.3">
      <c r="A9" s="2" t="s">
        <v>91</v>
      </c>
      <c r="B9" s="3"/>
      <c r="C9" s="2" t="s">
        <v>305</v>
      </c>
      <c r="D9" s="2" t="s">
        <v>306</v>
      </c>
      <c r="E9" s="2" t="s">
        <v>19</v>
      </c>
      <c r="F9" s="4">
        <f t="shared" si="0"/>
        <v>3.91</v>
      </c>
      <c r="G9" s="4">
        <v>2</v>
      </c>
    </row>
    <row r="10" spans="1:7" ht="14.4" x14ac:dyDescent="0.3">
      <c r="A10" s="2" t="s">
        <v>91</v>
      </c>
      <c r="B10" s="3"/>
      <c r="C10" s="2" t="s">
        <v>92</v>
      </c>
      <c r="D10" s="2" t="s">
        <v>341</v>
      </c>
      <c r="E10" s="2" t="s">
        <v>19</v>
      </c>
      <c r="F10" s="4">
        <f t="shared" ref="F10" si="1">IF(ISNUMBER(G10), ROUND(G10*1.95583, 2), "")</f>
        <v>3.91</v>
      </c>
      <c r="G10" s="4">
        <v>2</v>
      </c>
    </row>
    <row r="11" spans="1:7" ht="14.4" x14ac:dyDescent="0.3">
      <c r="A11" s="2" t="s">
        <v>91</v>
      </c>
      <c r="B11" s="3"/>
      <c r="C11" s="2" t="s">
        <v>340</v>
      </c>
      <c r="D11" s="2" t="s">
        <v>342</v>
      </c>
      <c r="E11" s="2" t="s">
        <v>19</v>
      </c>
      <c r="F11" s="4">
        <f t="shared" si="0"/>
        <v>2.93</v>
      </c>
      <c r="G11" s="4">
        <v>1.5</v>
      </c>
    </row>
    <row r="12" spans="1:7" ht="14.4" x14ac:dyDescent="0.3">
      <c r="A12" s="2" t="s">
        <v>91</v>
      </c>
      <c r="B12" s="3"/>
      <c r="C12" s="2" t="s">
        <v>343</v>
      </c>
      <c r="D12" s="2" t="s">
        <v>344</v>
      </c>
      <c r="E12" s="2" t="s">
        <v>93</v>
      </c>
      <c r="F12" s="4">
        <f t="shared" si="0"/>
        <v>1.96</v>
      </c>
      <c r="G12" s="4">
        <v>1</v>
      </c>
    </row>
    <row r="13" spans="1:7" ht="14.4" x14ac:dyDescent="0.3">
      <c r="A13" s="2" t="s">
        <v>91</v>
      </c>
      <c r="B13" s="3"/>
      <c r="C13" s="2" t="s">
        <v>94</v>
      </c>
      <c r="D13" s="2" t="s">
        <v>95</v>
      </c>
      <c r="E13" s="2" t="s">
        <v>19</v>
      </c>
      <c r="F13" s="4">
        <f t="shared" si="0"/>
        <v>3.91</v>
      </c>
      <c r="G13" s="4">
        <v>2</v>
      </c>
    </row>
    <row r="14" spans="1:7" ht="14.4" x14ac:dyDescent="0.3">
      <c r="A14" s="2" t="s">
        <v>91</v>
      </c>
      <c r="B14" s="3"/>
      <c r="C14" s="2" t="s">
        <v>96</v>
      </c>
      <c r="D14" s="2" t="s">
        <v>97</v>
      </c>
      <c r="E14" s="2" t="s">
        <v>19</v>
      </c>
      <c r="F14" s="4">
        <f t="shared" si="0"/>
        <v>2.93</v>
      </c>
      <c r="G14" s="4">
        <v>1.5</v>
      </c>
    </row>
    <row r="15" spans="1:7" ht="28.8" x14ac:dyDescent="0.3">
      <c r="A15" s="2" t="s">
        <v>234</v>
      </c>
      <c r="B15" s="3" t="s">
        <v>236</v>
      </c>
      <c r="C15" s="2" t="s">
        <v>235</v>
      </c>
      <c r="D15" s="2" t="s">
        <v>237</v>
      </c>
      <c r="E15" s="2" t="s">
        <v>124</v>
      </c>
      <c r="F15" s="4">
        <f t="shared" si="0"/>
        <v>11.73</v>
      </c>
      <c r="G15" s="4">
        <v>6</v>
      </c>
    </row>
    <row r="16" spans="1:7" ht="28.8" x14ac:dyDescent="0.3">
      <c r="A16" s="2" t="s">
        <v>234</v>
      </c>
      <c r="B16" s="3" t="s">
        <v>239</v>
      </c>
      <c r="C16" s="2" t="s">
        <v>238</v>
      </c>
      <c r="D16" s="2" t="s">
        <v>240</v>
      </c>
      <c r="E16" s="2" t="s">
        <v>188</v>
      </c>
      <c r="F16" s="4">
        <f t="shared" si="0"/>
        <v>11.73</v>
      </c>
      <c r="G16" s="4">
        <v>6</v>
      </c>
    </row>
    <row r="17" spans="1:7" ht="28.8" x14ac:dyDescent="0.3">
      <c r="A17" s="2" t="s">
        <v>234</v>
      </c>
      <c r="B17" s="3" t="s">
        <v>242</v>
      </c>
      <c r="C17" s="2" t="s">
        <v>241</v>
      </c>
      <c r="D17" s="2" t="s">
        <v>243</v>
      </c>
      <c r="E17" s="2" t="s">
        <v>124</v>
      </c>
      <c r="F17" s="4">
        <f t="shared" si="0"/>
        <v>11.73</v>
      </c>
      <c r="G17" s="4">
        <v>6</v>
      </c>
    </row>
    <row r="18" spans="1:7" ht="28.8" x14ac:dyDescent="0.3">
      <c r="A18" s="2" t="s">
        <v>234</v>
      </c>
      <c r="B18" s="3" t="s">
        <v>245</v>
      </c>
      <c r="C18" s="2" t="s">
        <v>244</v>
      </c>
      <c r="D18" s="2" t="s">
        <v>246</v>
      </c>
      <c r="E18" s="2" t="s">
        <v>124</v>
      </c>
      <c r="F18" s="4">
        <f t="shared" si="0"/>
        <v>11.73</v>
      </c>
      <c r="G18" s="4">
        <v>6</v>
      </c>
    </row>
    <row r="19" spans="1:7" ht="28.8" x14ac:dyDescent="0.3">
      <c r="A19" s="2" t="s">
        <v>234</v>
      </c>
      <c r="B19" s="3" t="s">
        <v>248</v>
      </c>
      <c r="C19" s="2" t="s">
        <v>247</v>
      </c>
      <c r="D19" s="2" t="s">
        <v>249</v>
      </c>
      <c r="E19" s="2" t="s">
        <v>124</v>
      </c>
      <c r="F19" s="4">
        <f t="shared" si="0"/>
        <v>11.73</v>
      </c>
      <c r="G19" s="4">
        <v>6</v>
      </c>
    </row>
    <row r="20" spans="1:7" ht="28.8" x14ac:dyDescent="0.3">
      <c r="A20" s="2" t="s">
        <v>234</v>
      </c>
      <c r="B20" s="3" t="s">
        <v>251</v>
      </c>
      <c r="C20" s="2" t="s">
        <v>250</v>
      </c>
      <c r="D20" s="2" t="s">
        <v>252</v>
      </c>
      <c r="E20" s="2" t="s">
        <v>124</v>
      </c>
      <c r="F20" s="4">
        <f t="shared" si="0"/>
        <v>11.73</v>
      </c>
      <c r="G20" s="4">
        <v>6</v>
      </c>
    </row>
    <row r="21" spans="1:7" ht="28.8" x14ac:dyDescent="0.3">
      <c r="A21" s="2" t="s">
        <v>234</v>
      </c>
      <c r="B21" s="5" t="s">
        <v>308</v>
      </c>
      <c r="C21" s="2" t="s">
        <v>253</v>
      </c>
      <c r="D21" s="2" t="s">
        <v>254</v>
      </c>
      <c r="E21" s="2" t="s">
        <v>124</v>
      </c>
      <c r="F21" s="4">
        <f t="shared" si="0"/>
        <v>11.73</v>
      </c>
      <c r="G21" s="4">
        <v>6</v>
      </c>
    </row>
    <row r="22" spans="1:7" ht="34.200000000000003" customHeight="1" x14ac:dyDescent="0.3">
      <c r="A22" s="2" t="s">
        <v>234</v>
      </c>
      <c r="B22" s="3" t="s">
        <v>256</v>
      </c>
      <c r="C22" s="2" t="s">
        <v>255</v>
      </c>
      <c r="D22" s="2" t="s">
        <v>257</v>
      </c>
      <c r="E22" s="2" t="s">
        <v>124</v>
      </c>
      <c r="F22" s="4">
        <f t="shared" si="0"/>
        <v>11.73</v>
      </c>
      <c r="G22" s="4">
        <v>6</v>
      </c>
    </row>
    <row r="23" spans="1:7" ht="15.75" customHeight="1" x14ac:dyDescent="0.3">
      <c r="A23" s="2" t="s">
        <v>234</v>
      </c>
      <c r="B23" s="5" t="s">
        <v>307</v>
      </c>
      <c r="C23" s="2" t="s">
        <v>258</v>
      </c>
      <c r="D23" s="2" t="s">
        <v>259</v>
      </c>
      <c r="E23" s="2" t="s">
        <v>124</v>
      </c>
      <c r="F23" s="4">
        <f t="shared" si="0"/>
        <v>11.73</v>
      </c>
      <c r="G23" s="4">
        <v>6</v>
      </c>
    </row>
    <row r="24" spans="1:7" ht="15.75" customHeight="1" x14ac:dyDescent="0.3">
      <c r="A24" s="2" t="s">
        <v>234</v>
      </c>
      <c r="B24" s="3" t="s">
        <v>261</v>
      </c>
      <c r="C24" s="2" t="s">
        <v>260</v>
      </c>
      <c r="D24" s="2" t="s">
        <v>262</v>
      </c>
      <c r="E24" s="2" t="s">
        <v>124</v>
      </c>
      <c r="F24" s="4">
        <f t="shared" si="0"/>
        <v>11.73</v>
      </c>
      <c r="G24" s="4">
        <v>6</v>
      </c>
    </row>
    <row r="25" spans="1:7" ht="15.75" customHeight="1" x14ac:dyDescent="0.3">
      <c r="A25" s="2" t="s">
        <v>234</v>
      </c>
      <c r="B25" s="3" t="s">
        <v>264</v>
      </c>
      <c r="C25" s="2" t="s">
        <v>263</v>
      </c>
      <c r="D25" s="2" t="s">
        <v>265</v>
      </c>
      <c r="E25" s="2" t="s">
        <v>124</v>
      </c>
      <c r="F25" s="4">
        <f t="shared" si="0"/>
        <v>11.73</v>
      </c>
      <c r="G25" s="4">
        <v>6</v>
      </c>
    </row>
    <row r="26" spans="1:7" ht="15.75" customHeight="1" x14ac:dyDescent="0.3">
      <c r="A26" s="2" t="s">
        <v>234</v>
      </c>
      <c r="B26" s="3" t="s">
        <v>267</v>
      </c>
      <c r="C26" s="2" t="s">
        <v>266</v>
      </c>
      <c r="D26" s="2" t="s">
        <v>268</v>
      </c>
      <c r="E26" s="2" t="s">
        <v>124</v>
      </c>
      <c r="F26" s="4">
        <f t="shared" si="0"/>
        <v>11.73</v>
      </c>
      <c r="G26" s="4">
        <v>6</v>
      </c>
    </row>
    <row r="27" spans="1:7" ht="15.75" customHeight="1" x14ac:dyDescent="0.3">
      <c r="A27" s="2" t="s">
        <v>234</v>
      </c>
      <c r="B27" s="3" t="s">
        <v>270</v>
      </c>
      <c r="C27" s="2" t="s">
        <v>269</v>
      </c>
      <c r="D27" s="2" t="s">
        <v>271</v>
      </c>
      <c r="E27" s="2" t="s">
        <v>124</v>
      </c>
      <c r="F27" s="4">
        <f t="shared" si="0"/>
        <v>11.73</v>
      </c>
      <c r="G27" s="4">
        <v>6</v>
      </c>
    </row>
    <row r="28" spans="1:7" ht="15.75" customHeight="1" x14ac:dyDescent="0.3">
      <c r="A28" s="2" t="s">
        <v>234</v>
      </c>
      <c r="B28" s="3" t="s">
        <v>273</v>
      </c>
      <c r="C28" s="2" t="s">
        <v>272</v>
      </c>
      <c r="D28" s="2" t="s">
        <v>274</v>
      </c>
      <c r="E28" s="2" t="s">
        <v>124</v>
      </c>
      <c r="F28" s="4">
        <f t="shared" si="0"/>
        <v>11.73</v>
      </c>
      <c r="G28" s="4">
        <v>6</v>
      </c>
    </row>
    <row r="29" spans="1:7" ht="15.75" customHeight="1" x14ac:dyDescent="0.3">
      <c r="A29" s="2" t="s">
        <v>234</v>
      </c>
      <c r="B29" s="3"/>
      <c r="C29" s="2" t="s">
        <v>275</v>
      </c>
      <c r="D29" s="2" t="s">
        <v>276</v>
      </c>
      <c r="E29" s="2" t="s">
        <v>124</v>
      </c>
      <c r="F29" s="4">
        <f t="shared" si="0"/>
        <v>11.73</v>
      </c>
      <c r="G29" s="4">
        <v>6</v>
      </c>
    </row>
    <row r="30" spans="1:7" ht="15.75" customHeight="1" x14ac:dyDescent="0.3">
      <c r="A30" s="2" t="s">
        <v>234</v>
      </c>
      <c r="B30" s="3" t="s">
        <v>278</v>
      </c>
      <c r="C30" s="2" t="s">
        <v>277</v>
      </c>
      <c r="D30" s="2" t="s">
        <v>279</v>
      </c>
      <c r="E30" s="2" t="s">
        <v>124</v>
      </c>
      <c r="F30" s="4">
        <f t="shared" si="0"/>
        <v>11.73</v>
      </c>
      <c r="G30" s="4">
        <v>6</v>
      </c>
    </row>
    <row r="31" spans="1:7" ht="15.75" customHeight="1" x14ac:dyDescent="0.3">
      <c r="A31" s="2" t="s">
        <v>234</v>
      </c>
      <c r="B31" s="3" t="s">
        <v>281</v>
      </c>
      <c r="C31" s="2" t="s">
        <v>280</v>
      </c>
      <c r="D31" s="2" t="s">
        <v>282</v>
      </c>
      <c r="E31" s="2" t="s">
        <v>124</v>
      </c>
      <c r="F31" s="4">
        <f t="shared" si="0"/>
        <v>11.73</v>
      </c>
      <c r="G31" s="4">
        <v>6</v>
      </c>
    </row>
    <row r="32" spans="1:7" ht="15.75" customHeight="1" x14ac:dyDescent="0.3">
      <c r="A32" s="2" t="s">
        <v>234</v>
      </c>
      <c r="B32" s="3" t="s">
        <v>284</v>
      </c>
      <c r="C32" s="2" t="s">
        <v>283</v>
      </c>
      <c r="D32" s="2" t="s">
        <v>285</v>
      </c>
      <c r="E32" s="2" t="s">
        <v>188</v>
      </c>
      <c r="F32" s="4">
        <f t="shared" si="0"/>
        <v>11.73</v>
      </c>
      <c r="G32" s="4">
        <v>6</v>
      </c>
    </row>
    <row r="33" spans="1:7" ht="15.75" customHeight="1" x14ac:dyDescent="0.3">
      <c r="A33" s="2" t="s">
        <v>234</v>
      </c>
      <c r="B33" s="3" t="s">
        <v>287</v>
      </c>
      <c r="C33" s="2" t="s">
        <v>286</v>
      </c>
      <c r="D33" s="2" t="s">
        <v>288</v>
      </c>
      <c r="E33" s="2" t="s">
        <v>124</v>
      </c>
      <c r="F33" s="4">
        <f t="shared" si="0"/>
        <v>11.73</v>
      </c>
      <c r="G33" s="4">
        <v>6</v>
      </c>
    </row>
    <row r="34" spans="1:7" ht="15.75" customHeight="1" x14ac:dyDescent="0.3">
      <c r="A34" s="2" t="s">
        <v>153</v>
      </c>
      <c r="B34" s="3" t="s">
        <v>155</v>
      </c>
      <c r="C34" s="2" t="s">
        <v>154</v>
      </c>
      <c r="D34" s="2" t="s">
        <v>156</v>
      </c>
      <c r="E34" s="2" t="s">
        <v>9</v>
      </c>
      <c r="F34" s="4">
        <f t="shared" si="0"/>
        <v>6.85</v>
      </c>
      <c r="G34" s="4">
        <v>3.5</v>
      </c>
    </row>
    <row r="35" spans="1:7" ht="15.75" customHeight="1" x14ac:dyDescent="0.3">
      <c r="A35" s="2" t="s">
        <v>153</v>
      </c>
      <c r="B35" s="3" t="s">
        <v>158</v>
      </c>
      <c r="C35" s="2" t="s">
        <v>157</v>
      </c>
      <c r="D35" s="2" t="s">
        <v>159</v>
      </c>
      <c r="E35" s="2" t="s">
        <v>124</v>
      </c>
      <c r="F35" s="4">
        <f t="shared" si="0"/>
        <v>6.85</v>
      </c>
      <c r="G35" s="4">
        <v>3.5</v>
      </c>
    </row>
    <row r="36" spans="1:7" ht="15.75" customHeight="1" x14ac:dyDescent="0.3">
      <c r="A36" s="2" t="s">
        <v>153</v>
      </c>
      <c r="B36" s="3" t="s">
        <v>161</v>
      </c>
      <c r="C36" s="2" t="s">
        <v>160</v>
      </c>
      <c r="D36" s="2" t="s">
        <v>162</v>
      </c>
      <c r="E36" s="2" t="s">
        <v>124</v>
      </c>
      <c r="F36" s="4">
        <f t="shared" si="0"/>
        <v>6.85</v>
      </c>
      <c r="G36" s="4">
        <v>3.5</v>
      </c>
    </row>
    <row r="37" spans="1:7" ht="15.75" customHeight="1" x14ac:dyDescent="0.3">
      <c r="A37" s="2" t="s">
        <v>153</v>
      </c>
      <c r="B37" s="3" t="s">
        <v>164</v>
      </c>
      <c r="C37" s="2" t="s">
        <v>163</v>
      </c>
      <c r="D37" s="2" t="s">
        <v>165</v>
      </c>
      <c r="E37" s="2" t="s">
        <v>124</v>
      </c>
      <c r="F37" s="4">
        <f t="shared" ref="F37:F71" si="2">IF(ISNUMBER(G37), ROUND(G37*1.95583, 2), "")</f>
        <v>6.85</v>
      </c>
      <c r="G37" s="4">
        <v>3.5</v>
      </c>
    </row>
    <row r="38" spans="1:7" ht="15.75" customHeight="1" x14ac:dyDescent="0.3">
      <c r="A38" s="2" t="s">
        <v>153</v>
      </c>
      <c r="B38" s="3" t="s">
        <v>167</v>
      </c>
      <c r="C38" s="2" t="s">
        <v>166</v>
      </c>
      <c r="D38" s="2" t="s">
        <v>168</v>
      </c>
      <c r="E38" s="2" t="s">
        <v>124</v>
      </c>
      <c r="F38" s="4">
        <f t="shared" si="2"/>
        <v>6.85</v>
      </c>
      <c r="G38" s="4">
        <v>3.5</v>
      </c>
    </row>
    <row r="39" spans="1:7" ht="15.75" customHeight="1" x14ac:dyDescent="0.3">
      <c r="A39" s="2" t="s">
        <v>153</v>
      </c>
      <c r="B39" s="3" t="s">
        <v>170</v>
      </c>
      <c r="C39" s="2" t="s">
        <v>169</v>
      </c>
      <c r="D39" s="2" t="s">
        <v>171</v>
      </c>
      <c r="E39" s="2" t="s">
        <v>124</v>
      </c>
      <c r="F39" s="4">
        <f t="shared" si="2"/>
        <v>6.85</v>
      </c>
      <c r="G39" s="4">
        <v>3.5</v>
      </c>
    </row>
    <row r="40" spans="1:7" ht="15.75" customHeight="1" x14ac:dyDescent="0.3">
      <c r="A40" s="2" t="s">
        <v>98</v>
      </c>
      <c r="B40" s="3" t="s">
        <v>315</v>
      </c>
      <c r="C40" s="2" t="s">
        <v>313</v>
      </c>
      <c r="D40" s="2" t="s">
        <v>314</v>
      </c>
      <c r="E40" s="2" t="s">
        <v>175</v>
      </c>
      <c r="F40" s="4">
        <f t="shared" si="2"/>
        <v>5.87</v>
      </c>
      <c r="G40" s="4">
        <v>3</v>
      </c>
    </row>
    <row r="41" spans="1:7" ht="15.75" customHeight="1" x14ac:dyDescent="0.3">
      <c r="A41" s="2" t="s">
        <v>98</v>
      </c>
      <c r="B41" s="3" t="s">
        <v>173</v>
      </c>
      <c r="C41" s="2" t="s">
        <v>172</v>
      </c>
      <c r="D41" s="2" t="s">
        <v>174</v>
      </c>
      <c r="E41" s="2" t="s">
        <v>175</v>
      </c>
      <c r="F41" s="4">
        <f t="shared" si="2"/>
        <v>5.87</v>
      </c>
      <c r="G41" s="4">
        <v>3</v>
      </c>
    </row>
    <row r="42" spans="1:7" ht="15.75" customHeight="1" x14ac:dyDescent="0.3">
      <c r="A42" s="2" t="s">
        <v>216</v>
      </c>
      <c r="B42" s="3"/>
      <c r="C42" s="2" t="s">
        <v>217</v>
      </c>
      <c r="D42" s="2" t="s">
        <v>218</v>
      </c>
      <c r="E42" s="2" t="s">
        <v>124</v>
      </c>
      <c r="F42" s="4">
        <f t="shared" si="2"/>
        <v>3.52</v>
      </c>
      <c r="G42" s="4">
        <v>1.8</v>
      </c>
    </row>
    <row r="43" spans="1:7" ht="15.75" customHeight="1" x14ac:dyDescent="0.3">
      <c r="A43" s="2" t="s">
        <v>216</v>
      </c>
      <c r="B43" s="3"/>
      <c r="C43" s="2" t="s">
        <v>219</v>
      </c>
      <c r="D43" s="2" t="s">
        <v>220</v>
      </c>
      <c r="E43" s="2" t="s">
        <v>59</v>
      </c>
      <c r="F43" s="4">
        <f t="shared" si="2"/>
        <v>3.52</v>
      </c>
      <c r="G43" s="4">
        <v>1.8</v>
      </c>
    </row>
    <row r="44" spans="1:7" ht="15.75" customHeight="1" x14ac:dyDescent="0.3">
      <c r="A44" s="2" t="s">
        <v>216</v>
      </c>
      <c r="B44" s="3"/>
      <c r="C44" s="2" t="s">
        <v>221</v>
      </c>
      <c r="D44" s="2" t="s">
        <v>222</v>
      </c>
      <c r="E44" s="2" t="s">
        <v>60</v>
      </c>
      <c r="F44" s="4">
        <f t="shared" si="2"/>
        <v>3.91</v>
      </c>
      <c r="G44" s="4">
        <v>2</v>
      </c>
    </row>
    <row r="45" spans="1:7" ht="15.75" customHeight="1" x14ac:dyDescent="0.3">
      <c r="A45" s="2" t="s">
        <v>216</v>
      </c>
      <c r="B45" s="3"/>
      <c r="C45" s="2" t="s">
        <v>223</v>
      </c>
      <c r="D45" s="2" t="s">
        <v>224</v>
      </c>
      <c r="E45" s="2" t="s">
        <v>124</v>
      </c>
      <c r="F45" s="4">
        <f t="shared" si="2"/>
        <v>2.93</v>
      </c>
      <c r="G45" s="4">
        <v>1.5</v>
      </c>
    </row>
    <row r="46" spans="1:7" ht="15.75" customHeight="1" x14ac:dyDescent="0.3">
      <c r="A46" s="2" t="s">
        <v>216</v>
      </c>
      <c r="B46" s="3"/>
      <c r="C46" s="2" t="s">
        <v>225</v>
      </c>
      <c r="D46" s="2" t="s">
        <v>226</v>
      </c>
      <c r="E46" s="2" t="s">
        <v>60</v>
      </c>
      <c r="F46" s="4">
        <f t="shared" si="2"/>
        <v>2.54</v>
      </c>
      <c r="G46" s="4">
        <v>1.3</v>
      </c>
    </row>
    <row r="47" spans="1:7" ht="15.75" customHeight="1" x14ac:dyDescent="0.3">
      <c r="A47" s="2" t="s">
        <v>216</v>
      </c>
      <c r="B47" s="3"/>
      <c r="C47" s="2" t="s">
        <v>225</v>
      </c>
      <c r="D47" s="2" t="s">
        <v>226</v>
      </c>
      <c r="E47" s="2" t="s">
        <v>59</v>
      </c>
      <c r="F47" s="4">
        <f t="shared" si="2"/>
        <v>1.96</v>
      </c>
      <c r="G47" s="4">
        <v>1</v>
      </c>
    </row>
    <row r="48" spans="1:7" ht="15.75" customHeight="1" x14ac:dyDescent="0.3">
      <c r="A48" s="2" t="s">
        <v>216</v>
      </c>
      <c r="B48" s="3"/>
      <c r="C48" s="2" t="s">
        <v>227</v>
      </c>
      <c r="D48" s="2" t="s">
        <v>228</v>
      </c>
      <c r="E48" s="2" t="s">
        <v>124</v>
      </c>
      <c r="F48" s="4">
        <f t="shared" si="2"/>
        <v>3.52</v>
      </c>
      <c r="G48" s="4">
        <v>1.8</v>
      </c>
    </row>
    <row r="49" spans="1:7" ht="15.75" customHeight="1" x14ac:dyDescent="0.3">
      <c r="A49" s="2" t="s">
        <v>216</v>
      </c>
      <c r="B49" s="3"/>
      <c r="C49" s="2" t="s">
        <v>229</v>
      </c>
      <c r="D49" s="2" t="s">
        <v>230</v>
      </c>
      <c r="E49" s="2" t="s">
        <v>124</v>
      </c>
      <c r="F49" s="4">
        <f t="shared" si="2"/>
        <v>3.52</v>
      </c>
      <c r="G49" s="4">
        <v>1.8</v>
      </c>
    </row>
    <row r="50" spans="1:7" ht="15.75" customHeight="1" x14ac:dyDescent="0.3">
      <c r="A50" s="2" t="s">
        <v>216</v>
      </c>
      <c r="B50" s="3" t="s">
        <v>232</v>
      </c>
      <c r="C50" s="2" t="s">
        <v>231</v>
      </c>
      <c r="D50" s="2" t="s">
        <v>233</v>
      </c>
      <c r="E50" s="2" t="s">
        <v>60</v>
      </c>
      <c r="F50" s="4">
        <f t="shared" si="2"/>
        <v>3.91</v>
      </c>
      <c r="G50" s="4">
        <v>2</v>
      </c>
    </row>
    <row r="51" spans="1:7" ht="15.75" customHeight="1" x14ac:dyDescent="0.3">
      <c r="A51" s="2" t="s">
        <v>56</v>
      </c>
      <c r="B51" s="3"/>
      <c r="C51" s="2" t="s">
        <v>57</v>
      </c>
      <c r="D51" s="2" t="s">
        <v>58</v>
      </c>
      <c r="E51" s="2" t="s">
        <v>59</v>
      </c>
      <c r="F51" s="4">
        <f t="shared" si="2"/>
        <v>3.52</v>
      </c>
      <c r="G51" s="4">
        <v>1.8</v>
      </c>
    </row>
    <row r="52" spans="1:7" ht="15.75" customHeight="1" x14ac:dyDescent="0.3">
      <c r="A52" s="2" t="s">
        <v>56</v>
      </c>
      <c r="B52" s="3"/>
      <c r="C52" s="2" t="s">
        <v>57</v>
      </c>
      <c r="D52" s="2" t="s">
        <v>58</v>
      </c>
      <c r="E52" s="2" t="s">
        <v>60</v>
      </c>
      <c r="F52" s="4">
        <f t="shared" si="2"/>
        <v>3.91</v>
      </c>
      <c r="G52" s="4">
        <v>2</v>
      </c>
    </row>
    <row r="53" spans="1:7" ht="15.75" customHeight="1" x14ac:dyDescent="0.3">
      <c r="A53" s="2" t="s">
        <v>56</v>
      </c>
      <c r="B53" s="3"/>
      <c r="C53" s="2" t="s">
        <v>61</v>
      </c>
      <c r="D53" s="2" t="s">
        <v>62</v>
      </c>
      <c r="E53" s="2" t="s">
        <v>60</v>
      </c>
      <c r="F53" s="4">
        <f t="shared" si="2"/>
        <v>3.91</v>
      </c>
      <c r="G53" s="4">
        <v>2</v>
      </c>
    </row>
    <row r="54" spans="1:7" ht="15.75" customHeight="1" x14ac:dyDescent="0.3">
      <c r="A54" s="2" t="s">
        <v>56</v>
      </c>
      <c r="B54" s="3"/>
      <c r="C54" s="2" t="s">
        <v>63</v>
      </c>
      <c r="D54" s="2" t="s">
        <v>64</v>
      </c>
      <c r="E54" s="2" t="s">
        <v>59</v>
      </c>
      <c r="F54" s="4">
        <f t="shared" si="2"/>
        <v>3.52</v>
      </c>
      <c r="G54" s="4">
        <v>1.8</v>
      </c>
    </row>
    <row r="55" spans="1:7" ht="15.75" customHeight="1" x14ac:dyDescent="0.3">
      <c r="A55" s="2" t="s">
        <v>56</v>
      </c>
      <c r="B55" s="3"/>
      <c r="C55" s="2" t="s">
        <v>65</v>
      </c>
      <c r="D55" s="2" t="s">
        <v>66</v>
      </c>
      <c r="E55" s="2" t="s">
        <v>60</v>
      </c>
      <c r="F55" s="4">
        <f t="shared" si="2"/>
        <v>3.91</v>
      </c>
      <c r="G55" s="4">
        <v>2</v>
      </c>
    </row>
    <row r="56" spans="1:7" ht="15.75" customHeight="1" x14ac:dyDescent="0.3">
      <c r="A56" s="2" t="s">
        <v>56</v>
      </c>
      <c r="B56" s="3"/>
      <c r="C56" s="2" t="s">
        <v>67</v>
      </c>
      <c r="D56" s="2" t="s">
        <v>68</v>
      </c>
      <c r="E56" s="2" t="s">
        <v>59</v>
      </c>
      <c r="F56" s="4">
        <f t="shared" si="2"/>
        <v>3.52</v>
      </c>
      <c r="G56" s="4">
        <v>1.8</v>
      </c>
    </row>
    <row r="57" spans="1:7" ht="15.75" customHeight="1" x14ac:dyDescent="0.3">
      <c r="A57" s="2" t="s">
        <v>56</v>
      </c>
      <c r="B57" s="3"/>
      <c r="C57" s="2" t="s">
        <v>76</v>
      </c>
      <c r="D57" s="2" t="s">
        <v>77</v>
      </c>
      <c r="E57" s="2" t="s">
        <v>60</v>
      </c>
      <c r="F57" s="4">
        <f t="shared" si="2"/>
        <v>3.91</v>
      </c>
      <c r="G57" s="4">
        <v>2</v>
      </c>
    </row>
    <row r="58" spans="1:7" ht="15.75" customHeight="1" x14ac:dyDescent="0.3">
      <c r="A58" s="2" t="s">
        <v>304</v>
      </c>
      <c r="B58" s="3"/>
      <c r="C58" s="2" t="s">
        <v>69</v>
      </c>
      <c r="D58" s="2" t="s">
        <v>70</v>
      </c>
      <c r="E58" s="2" t="s">
        <v>60</v>
      </c>
      <c r="F58" s="4">
        <f t="shared" si="2"/>
        <v>4.8899999999999997</v>
      </c>
      <c r="G58" s="4">
        <v>2.5</v>
      </c>
    </row>
    <row r="59" spans="1:7" ht="15.75" customHeight="1" x14ac:dyDescent="0.3">
      <c r="A59" s="2" t="s">
        <v>304</v>
      </c>
      <c r="B59" s="3"/>
      <c r="C59" s="2" t="s">
        <v>71</v>
      </c>
      <c r="D59" s="2" t="s">
        <v>294</v>
      </c>
      <c r="E59" s="2" t="s">
        <v>60</v>
      </c>
      <c r="F59" s="4">
        <f t="shared" si="2"/>
        <v>4.8899999999999997</v>
      </c>
      <c r="G59" s="4">
        <v>2.5</v>
      </c>
    </row>
    <row r="60" spans="1:7" ht="15.75" customHeight="1" x14ac:dyDescent="0.3">
      <c r="A60" s="2" t="s">
        <v>304</v>
      </c>
      <c r="B60" s="3"/>
      <c r="C60" s="2" t="s">
        <v>72</v>
      </c>
      <c r="D60" s="2" t="s">
        <v>73</v>
      </c>
      <c r="E60" s="2" t="s">
        <v>60</v>
      </c>
      <c r="F60" s="4">
        <f t="shared" si="2"/>
        <v>4.8899999999999997</v>
      </c>
      <c r="G60" s="4">
        <v>2.5</v>
      </c>
    </row>
    <row r="61" spans="1:7" ht="15.75" customHeight="1" x14ac:dyDescent="0.3">
      <c r="A61" s="2" t="s">
        <v>304</v>
      </c>
      <c r="B61" s="3"/>
      <c r="C61" s="2" t="s">
        <v>74</v>
      </c>
      <c r="D61" s="2" t="s">
        <v>75</v>
      </c>
      <c r="E61" s="2" t="s">
        <v>60</v>
      </c>
      <c r="F61" s="4">
        <f t="shared" si="2"/>
        <v>4.8899999999999997</v>
      </c>
      <c r="G61" s="4">
        <v>2.5</v>
      </c>
    </row>
    <row r="62" spans="1:7" ht="15.75" customHeight="1" x14ac:dyDescent="0.3">
      <c r="A62" s="2" t="s">
        <v>304</v>
      </c>
      <c r="B62" s="3"/>
      <c r="C62" s="2" t="s">
        <v>78</v>
      </c>
      <c r="D62" s="2" t="s">
        <v>79</v>
      </c>
      <c r="E62" s="2" t="s">
        <v>60</v>
      </c>
      <c r="F62" s="4">
        <f t="shared" si="2"/>
        <v>4.8899999999999997</v>
      </c>
      <c r="G62" s="4">
        <v>2.5</v>
      </c>
    </row>
    <row r="63" spans="1:7" ht="15.75" customHeight="1" x14ac:dyDescent="0.3">
      <c r="A63" s="2" t="s">
        <v>304</v>
      </c>
      <c r="B63" s="3"/>
      <c r="C63" s="2" t="s">
        <v>80</v>
      </c>
      <c r="D63" s="2" t="s">
        <v>81</v>
      </c>
      <c r="E63" s="2" t="s">
        <v>59</v>
      </c>
      <c r="F63" s="4">
        <f t="shared" si="2"/>
        <v>4.8899999999999997</v>
      </c>
      <c r="G63" s="4">
        <v>2.5</v>
      </c>
    </row>
    <row r="64" spans="1:7" ht="15.75" customHeight="1" x14ac:dyDescent="0.3">
      <c r="A64" s="2" t="s">
        <v>82</v>
      </c>
      <c r="B64" s="3"/>
      <c r="C64" s="2" t="s">
        <v>83</v>
      </c>
      <c r="D64" s="2" t="s">
        <v>84</v>
      </c>
      <c r="E64" s="2" t="s">
        <v>19</v>
      </c>
      <c r="F64" s="4">
        <f t="shared" si="2"/>
        <v>4.8899999999999997</v>
      </c>
      <c r="G64" s="4">
        <v>2.5</v>
      </c>
    </row>
    <row r="65" spans="1:7" ht="15.75" customHeight="1" x14ac:dyDescent="0.3">
      <c r="A65" s="2" t="s">
        <v>82</v>
      </c>
      <c r="B65" s="3"/>
      <c r="C65" s="2" t="s">
        <v>85</v>
      </c>
      <c r="D65" s="2" t="s">
        <v>86</v>
      </c>
      <c r="E65" s="2" t="s">
        <v>19</v>
      </c>
      <c r="F65" s="4">
        <f t="shared" si="2"/>
        <v>3.91</v>
      </c>
      <c r="G65" s="4">
        <v>2</v>
      </c>
    </row>
    <row r="66" spans="1:7" ht="15.75" customHeight="1" x14ac:dyDescent="0.3">
      <c r="A66" s="2" t="s">
        <v>145</v>
      </c>
      <c r="B66" s="3" t="s">
        <v>147</v>
      </c>
      <c r="C66" s="2" t="s">
        <v>146</v>
      </c>
      <c r="D66" s="2" t="s">
        <v>148</v>
      </c>
      <c r="E66" s="2" t="s">
        <v>149</v>
      </c>
      <c r="F66" s="4">
        <f t="shared" si="2"/>
        <v>3.91</v>
      </c>
      <c r="G66" s="4">
        <v>2</v>
      </c>
    </row>
    <row r="67" spans="1:7" ht="15.75" customHeight="1" x14ac:dyDescent="0.3">
      <c r="A67" s="2" t="s">
        <v>145</v>
      </c>
      <c r="B67" s="3" t="s">
        <v>312</v>
      </c>
      <c r="C67" s="2" t="s">
        <v>309</v>
      </c>
      <c r="D67" s="2" t="s">
        <v>310</v>
      </c>
      <c r="E67" s="2" t="s">
        <v>311</v>
      </c>
      <c r="F67" s="4">
        <f t="shared" si="2"/>
        <v>19.559999999999999</v>
      </c>
      <c r="G67" s="4">
        <v>10</v>
      </c>
    </row>
    <row r="68" spans="1:7" ht="15.75" customHeight="1" x14ac:dyDescent="0.3">
      <c r="A68" s="2" t="s">
        <v>145</v>
      </c>
      <c r="B68" s="3" t="s">
        <v>312</v>
      </c>
      <c r="C68" s="2" t="s">
        <v>309</v>
      </c>
      <c r="D68" s="2" t="s">
        <v>310</v>
      </c>
      <c r="E68" s="2" t="s">
        <v>311</v>
      </c>
      <c r="F68" s="4">
        <f t="shared" si="2"/>
        <v>19.559999999999999</v>
      </c>
      <c r="G68" s="4">
        <v>10</v>
      </c>
    </row>
    <row r="69" spans="1:7" ht="15.75" customHeight="1" x14ac:dyDescent="0.3">
      <c r="A69" s="2" t="s">
        <v>145</v>
      </c>
      <c r="B69" s="3" t="s">
        <v>151</v>
      </c>
      <c r="C69" s="2" t="s">
        <v>150</v>
      </c>
      <c r="D69" s="2" t="s">
        <v>152</v>
      </c>
      <c r="E69" s="2" t="s">
        <v>149</v>
      </c>
      <c r="F69" s="4">
        <f t="shared" si="2"/>
        <v>3.91</v>
      </c>
      <c r="G69" s="4">
        <v>2</v>
      </c>
    </row>
    <row r="70" spans="1:7" ht="15.75" customHeight="1" x14ac:dyDescent="0.3">
      <c r="A70" s="2" t="s">
        <v>16</v>
      </c>
      <c r="B70" s="3"/>
      <c r="C70" s="2" t="s">
        <v>17</v>
      </c>
      <c r="D70" s="2" t="s">
        <v>18</v>
      </c>
      <c r="E70" s="2" t="s">
        <v>19</v>
      </c>
      <c r="F70" s="4">
        <f t="shared" si="2"/>
        <v>4.8899999999999997</v>
      </c>
      <c r="G70" s="4">
        <v>2.5</v>
      </c>
    </row>
    <row r="71" spans="1:7" ht="15.75" customHeight="1" x14ac:dyDescent="0.3">
      <c r="A71" s="2" t="s">
        <v>16</v>
      </c>
      <c r="B71" s="3"/>
      <c r="C71" s="2" t="s">
        <v>20</v>
      </c>
      <c r="D71" s="2" t="s">
        <v>21</v>
      </c>
      <c r="E71" s="2" t="s">
        <v>19</v>
      </c>
      <c r="F71" s="4">
        <f t="shared" si="2"/>
        <v>4.8899999999999997</v>
      </c>
      <c r="G71" s="4">
        <v>2.5</v>
      </c>
    </row>
    <row r="72" spans="1:7" ht="15.75" customHeight="1" x14ac:dyDescent="0.3">
      <c r="A72" s="2" t="s">
        <v>16</v>
      </c>
      <c r="B72" s="3"/>
      <c r="C72" s="2" t="s">
        <v>22</v>
      </c>
      <c r="D72" s="2" t="s">
        <v>23</v>
      </c>
      <c r="E72" s="2" t="s">
        <v>19</v>
      </c>
      <c r="F72" s="4">
        <f t="shared" ref="F72:F106" si="3">IF(ISNUMBER(G72), ROUND(G72*1.95583, 2), "")</f>
        <v>2.93</v>
      </c>
      <c r="G72" s="4">
        <v>1.5</v>
      </c>
    </row>
    <row r="73" spans="1:7" ht="15.75" customHeight="1" x14ac:dyDescent="0.3">
      <c r="A73" s="2" t="s">
        <v>16</v>
      </c>
      <c r="B73" s="3"/>
      <c r="C73" s="2" t="s">
        <v>24</v>
      </c>
      <c r="D73" s="2" t="s">
        <v>25</v>
      </c>
      <c r="E73" s="2" t="s">
        <v>19</v>
      </c>
      <c r="F73" s="4">
        <f t="shared" si="3"/>
        <v>2.93</v>
      </c>
      <c r="G73" s="4">
        <v>1.5</v>
      </c>
    </row>
    <row r="74" spans="1:7" ht="15.75" customHeight="1" x14ac:dyDescent="0.3">
      <c r="A74" s="2" t="s">
        <v>7</v>
      </c>
      <c r="B74" s="3" t="s">
        <v>8</v>
      </c>
      <c r="C74" s="2" t="s">
        <v>295</v>
      </c>
      <c r="D74" s="2" t="s">
        <v>296</v>
      </c>
      <c r="E74" s="2" t="s">
        <v>184</v>
      </c>
      <c r="F74" s="4">
        <f t="shared" si="3"/>
        <v>2.93</v>
      </c>
      <c r="G74" s="4">
        <v>1.5</v>
      </c>
    </row>
    <row r="75" spans="1:7" ht="15.75" customHeight="1" x14ac:dyDescent="0.3">
      <c r="A75" s="2" t="s">
        <v>7</v>
      </c>
      <c r="B75" s="3" t="s">
        <v>8</v>
      </c>
      <c r="C75" s="2" t="s">
        <v>298</v>
      </c>
      <c r="D75" s="2" t="s">
        <v>297</v>
      </c>
      <c r="E75" s="2" t="s">
        <v>9</v>
      </c>
      <c r="F75" s="4">
        <f t="shared" si="3"/>
        <v>7.82</v>
      </c>
      <c r="G75" s="4">
        <v>4</v>
      </c>
    </row>
    <row r="76" spans="1:7" ht="15.75" customHeight="1" x14ac:dyDescent="0.3">
      <c r="A76" s="2" t="s">
        <v>7</v>
      </c>
      <c r="B76" s="3" t="s">
        <v>324</v>
      </c>
      <c r="C76" s="2" t="s">
        <v>10</v>
      </c>
      <c r="D76" s="2" t="s">
        <v>11</v>
      </c>
      <c r="E76" s="2" t="s">
        <v>293</v>
      </c>
      <c r="F76" s="4">
        <f t="shared" si="3"/>
        <v>13.69</v>
      </c>
      <c r="G76" s="4">
        <v>7</v>
      </c>
    </row>
    <row r="77" spans="1:7" ht="15.75" customHeight="1" x14ac:dyDescent="0.3">
      <c r="A77" s="2" t="s">
        <v>7</v>
      </c>
      <c r="B77" s="3" t="s">
        <v>323</v>
      </c>
      <c r="C77" s="2" t="s">
        <v>12</v>
      </c>
      <c r="D77" s="2" t="s">
        <v>13</v>
      </c>
      <c r="E77" s="2" t="s">
        <v>293</v>
      </c>
      <c r="F77" s="4">
        <f t="shared" si="3"/>
        <v>13.69</v>
      </c>
      <c r="G77" s="4">
        <v>7</v>
      </c>
    </row>
    <row r="78" spans="1:7" ht="15.75" customHeight="1" x14ac:dyDescent="0.3">
      <c r="A78" s="2" t="s">
        <v>7</v>
      </c>
      <c r="B78" s="3"/>
      <c r="C78" s="2" t="s">
        <v>14</v>
      </c>
      <c r="D78" s="2" t="s">
        <v>15</v>
      </c>
      <c r="E78" s="2" t="s">
        <v>293</v>
      </c>
      <c r="F78" s="4">
        <f t="shared" si="3"/>
        <v>13.69</v>
      </c>
      <c r="G78" s="4">
        <v>7</v>
      </c>
    </row>
    <row r="79" spans="1:7" ht="15.75" customHeight="1" x14ac:dyDescent="0.3">
      <c r="A79" s="2" t="s">
        <v>127</v>
      </c>
      <c r="B79" s="3" t="s">
        <v>320</v>
      </c>
      <c r="C79" s="2" t="s">
        <v>128</v>
      </c>
      <c r="D79" s="2" t="s">
        <v>129</v>
      </c>
      <c r="E79" s="2" t="s">
        <v>19</v>
      </c>
      <c r="F79" s="4">
        <f t="shared" si="3"/>
        <v>5.87</v>
      </c>
      <c r="G79" s="4">
        <v>3</v>
      </c>
    </row>
    <row r="80" spans="1:7" ht="15.75" customHeight="1" x14ac:dyDescent="0.3">
      <c r="A80" s="2" t="s">
        <v>127</v>
      </c>
      <c r="B80" s="3" t="s">
        <v>322</v>
      </c>
      <c r="C80" s="2" t="s">
        <v>130</v>
      </c>
      <c r="D80" s="2" t="s">
        <v>131</v>
      </c>
      <c r="E80" s="2" t="s">
        <v>19</v>
      </c>
      <c r="F80" s="4">
        <f t="shared" si="3"/>
        <v>5.87</v>
      </c>
      <c r="G80" s="4">
        <v>3</v>
      </c>
    </row>
    <row r="81" spans="1:7" ht="15.75" customHeight="1" x14ac:dyDescent="0.3">
      <c r="A81" s="2" t="s">
        <v>127</v>
      </c>
      <c r="B81" s="3" t="s">
        <v>133</v>
      </c>
      <c r="C81" s="2" t="s">
        <v>132</v>
      </c>
      <c r="D81" s="2" t="s">
        <v>134</v>
      </c>
      <c r="E81" s="2" t="s">
        <v>19</v>
      </c>
      <c r="F81" s="4">
        <f t="shared" si="3"/>
        <v>2.93</v>
      </c>
      <c r="G81" s="4">
        <v>1.5</v>
      </c>
    </row>
    <row r="82" spans="1:7" ht="15.75" customHeight="1" x14ac:dyDescent="0.3">
      <c r="A82" s="2" t="s">
        <v>127</v>
      </c>
      <c r="B82" s="3"/>
      <c r="C82" s="2" t="s">
        <v>135</v>
      </c>
      <c r="D82" s="2" t="s">
        <v>136</v>
      </c>
      <c r="E82" s="2" t="s">
        <v>19</v>
      </c>
      <c r="F82" s="4">
        <f t="shared" si="3"/>
        <v>2.93</v>
      </c>
      <c r="G82" s="4">
        <v>1.5</v>
      </c>
    </row>
    <row r="83" spans="1:7" ht="15.75" customHeight="1" x14ac:dyDescent="0.3">
      <c r="A83" s="2" t="s">
        <v>127</v>
      </c>
      <c r="B83" s="3" t="s">
        <v>321</v>
      </c>
      <c r="C83" s="2" t="s">
        <v>137</v>
      </c>
      <c r="D83" s="2" t="s">
        <v>138</v>
      </c>
      <c r="E83" s="2" t="s">
        <v>19</v>
      </c>
      <c r="F83" s="4">
        <f t="shared" si="3"/>
        <v>5.87</v>
      </c>
      <c r="G83" s="4">
        <v>3</v>
      </c>
    </row>
    <row r="84" spans="1:7" ht="15.75" customHeight="1" x14ac:dyDescent="0.3">
      <c r="A84" s="2" t="s">
        <v>127</v>
      </c>
      <c r="B84" s="3" t="s">
        <v>320</v>
      </c>
      <c r="C84" s="2" t="s">
        <v>139</v>
      </c>
      <c r="D84" s="2" t="s">
        <v>140</v>
      </c>
      <c r="E84" s="2" t="s">
        <v>19</v>
      </c>
      <c r="F84" s="4">
        <f t="shared" si="3"/>
        <v>3.91</v>
      </c>
      <c r="G84" s="4">
        <v>2</v>
      </c>
    </row>
    <row r="85" spans="1:7" ht="15.75" customHeight="1" x14ac:dyDescent="0.3">
      <c r="A85" s="2" t="s">
        <v>127</v>
      </c>
      <c r="B85" s="3" t="s">
        <v>319</v>
      </c>
      <c r="C85" s="2" t="s">
        <v>317</v>
      </c>
      <c r="D85" s="2" t="s">
        <v>318</v>
      </c>
      <c r="E85" s="2" t="s">
        <v>19</v>
      </c>
      <c r="F85" s="4">
        <f t="shared" si="3"/>
        <v>5.87</v>
      </c>
      <c r="G85" s="4">
        <v>3</v>
      </c>
    </row>
    <row r="86" spans="1:7" ht="15.75" customHeight="1" x14ac:dyDescent="0.3">
      <c r="A86" s="2" t="s">
        <v>127</v>
      </c>
      <c r="B86" s="3"/>
      <c r="C86" s="2" t="s">
        <v>141</v>
      </c>
      <c r="D86" s="2" t="s">
        <v>142</v>
      </c>
      <c r="E86" s="2" t="s">
        <v>19</v>
      </c>
      <c r="F86" s="4">
        <f t="shared" si="3"/>
        <v>5.87</v>
      </c>
      <c r="G86" s="4">
        <v>3</v>
      </c>
    </row>
    <row r="87" spans="1:7" ht="15.75" customHeight="1" x14ac:dyDescent="0.3">
      <c r="A87" s="2" t="s">
        <v>127</v>
      </c>
      <c r="B87" s="3"/>
      <c r="C87" s="2" t="s">
        <v>143</v>
      </c>
      <c r="D87" s="2" t="s">
        <v>144</v>
      </c>
      <c r="E87" s="2" t="s">
        <v>19</v>
      </c>
      <c r="F87" s="4">
        <f t="shared" si="3"/>
        <v>4.8899999999999997</v>
      </c>
      <c r="G87" s="4">
        <v>2.5</v>
      </c>
    </row>
    <row r="88" spans="1:7" ht="15.75" customHeight="1" x14ac:dyDescent="0.3">
      <c r="A88" s="2" t="s">
        <v>87</v>
      </c>
      <c r="B88" s="3" t="s">
        <v>88</v>
      </c>
      <c r="C88" s="2" t="s">
        <v>300</v>
      </c>
      <c r="D88" s="2" t="s">
        <v>299</v>
      </c>
      <c r="E88" s="2" t="s">
        <v>19</v>
      </c>
      <c r="F88" s="4">
        <f t="shared" si="3"/>
        <v>2.93</v>
      </c>
      <c r="G88" s="4">
        <v>1.5</v>
      </c>
    </row>
    <row r="89" spans="1:7" ht="15.75" customHeight="1" x14ac:dyDescent="0.3">
      <c r="A89" s="2" t="s">
        <v>87</v>
      </c>
      <c r="B89" s="3" t="s">
        <v>316</v>
      </c>
      <c r="C89" s="2" t="s">
        <v>89</v>
      </c>
      <c r="D89" s="2" t="s">
        <v>90</v>
      </c>
      <c r="E89" s="2" t="s">
        <v>19</v>
      </c>
      <c r="F89" s="4">
        <f t="shared" si="3"/>
        <v>5.87</v>
      </c>
      <c r="G89" s="4">
        <v>3</v>
      </c>
    </row>
    <row r="90" spans="1:7" ht="15.75" customHeight="1" x14ac:dyDescent="0.3">
      <c r="A90" s="2" t="s">
        <v>98</v>
      </c>
      <c r="B90" s="3"/>
      <c r="C90" s="2" t="s">
        <v>99</v>
      </c>
      <c r="D90" s="2" t="s">
        <v>100</v>
      </c>
      <c r="E90" s="2" t="s">
        <v>124</v>
      </c>
      <c r="F90" s="4">
        <f t="shared" si="3"/>
        <v>4.8899999999999997</v>
      </c>
      <c r="G90" s="4">
        <v>2.5</v>
      </c>
    </row>
    <row r="91" spans="1:7" ht="15.75" customHeight="1" x14ac:dyDescent="0.3">
      <c r="A91" s="2" t="s">
        <v>98</v>
      </c>
      <c r="B91" s="3"/>
      <c r="C91" s="2" t="s">
        <v>336</v>
      </c>
      <c r="D91" s="2" t="s">
        <v>337</v>
      </c>
      <c r="E91" s="2" t="s">
        <v>124</v>
      </c>
      <c r="F91" s="4">
        <f t="shared" si="3"/>
        <v>5.87</v>
      </c>
      <c r="G91" s="4">
        <v>3</v>
      </c>
    </row>
    <row r="92" spans="1:7" ht="15.75" customHeight="1" x14ac:dyDescent="0.3">
      <c r="A92" s="2" t="s">
        <v>98</v>
      </c>
      <c r="B92" s="3"/>
      <c r="C92" s="2" t="s">
        <v>101</v>
      </c>
      <c r="D92" s="2" t="s">
        <v>102</v>
      </c>
      <c r="E92" s="2" t="s">
        <v>124</v>
      </c>
      <c r="F92" s="4">
        <f t="shared" si="3"/>
        <v>3.91</v>
      </c>
      <c r="G92" s="4">
        <v>2</v>
      </c>
    </row>
    <row r="93" spans="1:7" ht="15.75" customHeight="1" x14ac:dyDescent="0.3">
      <c r="A93" s="2" t="s">
        <v>98</v>
      </c>
      <c r="B93" s="3" t="s">
        <v>325</v>
      </c>
      <c r="C93" s="2" t="s">
        <v>103</v>
      </c>
      <c r="D93" s="2" t="s">
        <v>104</v>
      </c>
      <c r="E93" s="2" t="s">
        <v>124</v>
      </c>
      <c r="F93" s="4">
        <f t="shared" si="3"/>
        <v>6.85</v>
      </c>
      <c r="G93" s="4">
        <v>3.5</v>
      </c>
    </row>
    <row r="94" spans="1:7" ht="15.75" customHeight="1" x14ac:dyDescent="0.3">
      <c r="A94" s="2" t="s">
        <v>98</v>
      </c>
      <c r="B94" s="3" t="s">
        <v>325</v>
      </c>
      <c r="C94" s="2" t="s">
        <v>105</v>
      </c>
      <c r="D94" s="2" t="s">
        <v>106</v>
      </c>
      <c r="E94" s="2" t="s">
        <v>124</v>
      </c>
      <c r="F94" s="4">
        <f t="shared" si="3"/>
        <v>6.85</v>
      </c>
      <c r="G94" s="4">
        <v>3.5</v>
      </c>
    </row>
    <row r="95" spans="1:7" ht="15.75" customHeight="1" x14ac:dyDescent="0.3">
      <c r="A95" s="2" t="s">
        <v>98</v>
      </c>
      <c r="B95" s="3" t="s">
        <v>325</v>
      </c>
      <c r="C95" s="2" t="s">
        <v>107</v>
      </c>
      <c r="D95" s="2" t="s">
        <v>108</v>
      </c>
      <c r="E95" s="2" t="s">
        <v>124</v>
      </c>
      <c r="F95" s="4">
        <f t="shared" si="3"/>
        <v>6.85</v>
      </c>
      <c r="G95" s="4">
        <v>3.5</v>
      </c>
    </row>
    <row r="96" spans="1:7" ht="15.75" customHeight="1" x14ac:dyDescent="0.3">
      <c r="A96" s="2" t="s">
        <v>98</v>
      </c>
      <c r="B96" s="3"/>
      <c r="C96" s="2" t="s">
        <v>109</v>
      </c>
      <c r="D96" s="2" t="s">
        <v>110</v>
      </c>
      <c r="E96" s="2" t="s">
        <v>124</v>
      </c>
      <c r="F96" s="4">
        <f t="shared" si="3"/>
        <v>4.8899999999999997</v>
      </c>
      <c r="G96" s="4">
        <v>2.5</v>
      </c>
    </row>
    <row r="97" spans="1:7" ht="15.75" customHeight="1" x14ac:dyDescent="0.3">
      <c r="A97" s="2" t="s">
        <v>98</v>
      </c>
      <c r="B97" s="3" t="s">
        <v>112</v>
      </c>
      <c r="C97" s="2" t="s">
        <v>111</v>
      </c>
      <c r="D97" s="2" t="s">
        <v>113</v>
      </c>
      <c r="E97" s="2" t="s">
        <v>9</v>
      </c>
      <c r="F97" s="4">
        <f t="shared" si="3"/>
        <v>6.85</v>
      </c>
      <c r="G97" s="4">
        <v>3.5</v>
      </c>
    </row>
    <row r="98" spans="1:7" ht="15.75" customHeight="1" x14ac:dyDescent="0.3">
      <c r="A98" s="2" t="s">
        <v>98</v>
      </c>
      <c r="B98" s="3" t="s">
        <v>115</v>
      </c>
      <c r="C98" s="2" t="s">
        <v>114</v>
      </c>
      <c r="D98" s="2" t="s">
        <v>116</v>
      </c>
      <c r="E98" s="2" t="s">
        <v>9</v>
      </c>
      <c r="F98" s="4">
        <f t="shared" si="3"/>
        <v>6.85</v>
      </c>
      <c r="G98" s="4">
        <v>3.5</v>
      </c>
    </row>
    <row r="99" spans="1:7" ht="15.75" customHeight="1" x14ac:dyDescent="0.3">
      <c r="A99" s="2" t="s">
        <v>212</v>
      </c>
      <c r="B99" s="3" t="s">
        <v>213</v>
      </c>
      <c r="C99" s="2" t="s">
        <v>200</v>
      </c>
      <c r="D99" s="2" t="s">
        <v>201</v>
      </c>
      <c r="E99" s="2" t="s">
        <v>124</v>
      </c>
      <c r="F99" s="4">
        <f t="shared" si="3"/>
        <v>5.87</v>
      </c>
      <c r="G99" s="4">
        <v>3</v>
      </c>
    </row>
    <row r="100" spans="1:7" ht="15.75" customHeight="1" x14ac:dyDescent="0.3">
      <c r="A100" s="2" t="s">
        <v>212</v>
      </c>
      <c r="B100" s="3" t="s">
        <v>213</v>
      </c>
      <c r="C100" s="2" t="s">
        <v>194</v>
      </c>
      <c r="D100" s="2" t="s">
        <v>195</v>
      </c>
      <c r="E100" s="2" t="s">
        <v>124</v>
      </c>
      <c r="F100" s="4">
        <f t="shared" si="3"/>
        <v>5.87</v>
      </c>
      <c r="G100" s="4">
        <v>3</v>
      </c>
    </row>
    <row r="101" spans="1:7" ht="15.75" customHeight="1" x14ac:dyDescent="0.3">
      <c r="A101" s="2" t="s">
        <v>212</v>
      </c>
      <c r="B101" s="3" t="s">
        <v>213</v>
      </c>
      <c r="C101" s="2" t="s">
        <v>198</v>
      </c>
      <c r="D101" s="2" t="s">
        <v>333</v>
      </c>
      <c r="E101" s="2" t="s">
        <v>124</v>
      </c>
      <c r="F101" s="4">
        <f t="shared" si="3"/>
        <v>5.87</v>
      </c>
      <c r="G101" s="4">
        <v>3</v>
      </c>
    </row>
    <row r="102" spans="1:7" ht="15.75" customHeight="1" x14ac:dyDescent="0.3">
      <c r="A102" s="2" t="s">
        <v>212</v>
      </c>
      <c r="B102" s="3" t="s">
        <v>213</v>
      </c>
      <c r="C102" s="2" t="s">
        <v>202</v>
      </c>
      <c r="D102" s="2" t="s">
        <v>203</v>
      </c>
      <c r="E102" s="2" t="s">
        <v>124</v>
      </c>
      <c r="F102" s="4">
        <f t="shared" si="3"/>
        <v>5.87</v>
      </c>
      <c r="G102" s="4">
        <v>3</v>
      </c>
    </row>
    <row r="103" spans="1:7" ht="15.75" customHeight="1" x14ac:dyDescent="0.3">
      <c r="A103" s="2" t="s">
        <v>212</v>
      </c>
      <c r="B103" s="3" t="s">
        <v>213</v>
      </c>
      <c r="C103" s="2" t="s">
        <v>214</v>
      </c>
      <c r="D103" s="2" t="s">
        <v>215</v>
      </c>
      <c r="E103" s="2" t="s">
        <v>124</v>
      </c>
      <c r="F103" s="4">
        <f t="shared" si="3"/>
        <v>5.87</v>
      </c>
      <c r="G103" s="4">
        <v>3</v>
      </c>
    </row>
    <row r="104" spans="1:7" ht="15.75" customHeight="1" x14ac:dyDescent="0.3">
      <c r="A104" s="2" t="s">
        <v>176</v>
      </c>
      <c r="B104" s="3"/>
      <c r="C104" s="2" t="s">
        <v>289</v>
      </c>
      <c r="D104" s="2" t="s">
        <v>177</v>
      </c>
      <c r="E104" s="2" t="s">
        <v>178</v>
      </c>
      <c r="F104" s="4">
        <f t="shared" si="3"/>
        <v>2.93</v>
      </c>
      <c r="G104" s="4">
        <v>1.5</v>
      </c>
    </row>
    <row r="105" spans="1:7" ht="15.75" customHeight="1" x14ac:dyDescent="0.3">
      <c r="A105" s="2" t="s">
        <v>176</v>
      </c>
      <c r="B105" s="3"/>
      <c r="C105" s="2" t="s">
        <v>179</v>
      </c>
      <c r="D105" s="2" t="s">
        <v>290</v>
      </c>
      <c r="E105" s="2" t="s">
        <v>178</v>
      </c>
      <c r="F105" s="4">
        <f t="shared" si="3"/>
        <v>3.52</v>
      </c>
      <c r="G105" s="4">
        <v>1.8</v>
      </c>
    </row>
    <row r="106" spans="1:7" ht="15.75" customHeight="1" x14ac:dyDescent="0.3">
      <c r="A106" s="2" t="s">
        <v>176</v>
      </c>
      <c r="B106" s="3"/>
      <c r="C106" s="2" t="s">
        <v>180</v>
      </c>
      <c r="D106" s="2" t="s">
        <v>181</v>
      </c>
      <c r="E106" s="2" t="s">
        <v>178</v>
      </c>
      <c r="F106" s="4">
        <f t="shared" si="3"/>
        <v>2.93</v>
      </c>
      <c r="G106" s="4">
        <v>1.5</v>
      </c>
    </row>
    <row r="107" spans="1:7" ht="15.75" customHeight="1" x14ac:dyDescent="0.3">
      <c r="A107" s="2" t="s">
        <v>176</v>
      </c>
      <c r="B107" s="3"/>
      <c r="C107" s="2" t="s">
        <v>182</v>
      </c>
      <c r="D107" s="2" t="s">
        <v>183</v>
      </c>
      <c r="E107" s="2" t="s">
        <v>184</v>
      </c>
      <c r="F107" s="4">
        <f t="shared" ref="F107:F137" si="4">IF(ISNUMBER(G107), ROUND(G107*1.95583, 2), "")</f>
        <v>3.91</v>
      </c>
      <c r="G107" s="4">
        <v>2</v>
      </c>
    </row>
    <row r="108" spans="1:7" ht="15.75" customHeight="1" x14ac:dyDescent="0.3">
      <c r="A108" s="2" t="s">
        <v>176</v>
      </c>
      <c r="B108" s="3" t="s">
        <v>186</v>
      </c>
      <c r="C108" s="2" t="s">
        <v>185</v>
      </c>
      <c r="D108" s="2" t="s">
        <v>187</v>
      </c>
      <c r="E108" s="2" t="s">
        <v>124</v>
      </c>
      <c r="F108" s="4">
        <f t="shared" si="4"/>
        <v>11.73</v>
      </c>
      <c r="G108" s="4">
        <v>6</v>
      </c>
    </row>
    <row r="109" spans="1:7" ht="15.75" customHeight="1" x14ac:dyDescent="0.3">
      <c r="A109" s="2" t="s">
        <v>176</v>
      </c>
      <c r="B109" s="3" t="s">
        <v>190</v>
      </c>
      <c r="C109" s="2" t="s">
        <v>189</v>
      </c>
      <c r="D109" s="2" t="s">
        <v>191</v>
      </c>
      <c r="E109" s="2" t="s">
        <v>124</v>
      </c>
      <c r="F109" s="4">
        <f t="shared" si="4"/>
        <v>11.73</v>
      </c>
      <c r="G109" s="4">
        <v>6</v>
      </c>
    </row>
    <row r="110" spans="1:7" ht="15.75" customHeight="1" x14ac:dyDescent="0.3">
      <c r="A110" s="2" t="s">
        <v>176</v>
      </c>
      <c r="B110" s="3"/>
      <c r="C110" s="2" t="s">
        <v>192</v>
      </c>
      <c r="D110" s="2" t="s">
        <v>193</v>
      </c>
      <c r="E110" s="2" t="s">
        <v>184</v>
      </c>
      <c r="F110" s="4">
        <f t="shared" si="4"/>
        <v>2.93</v>
      </c>
      <c r="G110" s="4">
        <v>1.5</v>
      </c>
    </row>
    <row r="111" spans="1:7" ht="15.75" customHeight="1" x14ac:dyDescent="0.3">
      <c r="A111" s="2" t="s">
        <v>176</v>
      </c>
      <c r="B111" s="3"/>
      <c r="C111" s="2" t="s">
        <v>291</v>
      </c>
      <c r="D111" s="2" t="s">
        <v>292</v>
      </c>
      <c r="E111" s="2" t="s">
        <v>188</v>
      </c>
      <c r="F111" s="4">
        <f t="shared" si="4"/>
        <v>5.87</v>
      </c>
      <c r="G111" s="4">
        <v>3</v>
      </c>
    </row>
    <row r="112" spans="1:7" ht="15.75" customHeight="1" x14ac:dyDescent="0.3">
      <c r="A112" s="2" t="s">
        <v>176</v>
      </c>
      <c r="B112" s="3"/>
      <c r="C112" s="2" t="s">
        <v>330</v>
      </c>
      <c r="D112" s="2" t="s">
        <v>331</v>
      </c>
      <c r="E112" s="2" t="s">
        <v>124</v>
      </c>
      <c r="F112" s="4">
        <f t="shared" si="4"/>
        <v>4.8899999999999997</v>
      </c>
      <c r="G112" s="4">
        <v>2.5</v>
      </c>
    </row>
    <row r="113" spans="1:7" ht="15.75" customHeight="1" x14ac:dyDescent="0.3">
      <c r="A113" s="2" t="s">
        <v>176</v>
      </c>
      <c r="B113" s="3"/>
      <c r="C113" s="2" t="s">
        <v>194</v>
      </c>
      <c r="D113" s="2" t="s">
        <v>195</v>
      </c>
      <c r="E113" s="2" t="s">
        <v>124</v>
      </c>
      <c r="F113" s="4">
        <f t="shared" si="4"/>
        <v>4.8899999999999997</v>
      </c>
      <c r="G113" s="4">
        <v>2.5</v>
      </c>
    </row>
    <row r="114" spans="1:7" ht="15.75" customHeight="1" x14ac:dyDescent="0.3">
      <c r="A114" s="2" t="s">
        <v>176</v>
      </c>
      <c r="B114" s="3"/>
      <c r="C114" s="2" t="s">
        <v>328</v>
      </c>
      <c r="D114" s="2" t="s">
        <v>329</v>
      </c>
      <c r="E114" s="2" t="s">
        <v>124</v>
      </c>
      <c r="F114" s="4">
        <f t="shared" si="4"/>
        <v>4.8899999999999997</v>
      </c>
      <c r="G114" s="4">
        <v>2.5</v>
      </c>
    </row>
    <row r="115" spans="1:7" ht="15.75" customHeight="1" x14ac:dyDescent="0.3">
      <c r="A115" s="2" t="s">
        <v>176</v>
      </c>
      <c r="B115" s="3"/>
      <c r="C115" s="2" t="s">
        <v>196</v>
      </c>
      <c r="D115" s="2" t="s">
        <v>197</v>
      </c>
      <c r="E115" s="2" t="s">
        <v>124</v>
      </c>
      <c r="F115" s="4">
        <f t="shared" si="4"/>
        <v>4.8899999999999997</v>
      </c>
      <c r="G115" s="4">
        <v>2.5</v>
      </c>
    </row>
    <row r="116" spans="1:7" ht="15.75" customHeight="1" x14ac:dyDescent="0.3">
      <c r="A116" s="2" t="s">
        <v>176</v>
      </c>
      <c r="B116" s="3"/>
      <c r="C116" s="2" t="s">
        <v>198</v>
      </c>
      <c r="D116" s="2" t="s">
        <v>199</v>
      </c>
      <c r="E116" s="2" t="s">
        <v>124</v>
      </c>
      <c r="F116" s="4">
        <f t="shared" si="4"/>
        <v>4.8899999999999997</v>
      </c>
      <c r="G116" s="4">
        <v>2.5</v>
      </c>
    </row>
    <row r="117" spans="1:7" ht="15.75" customHeight="1" x14ac:dyDescent="0.3">
      <c r="A117" s="2" t="s">
        <v>176</v>
      </c>
      <c r="B117" s="3"/>
      <c r="C117" s="2" t="s">
        <v>200</v>
      </c>
      <c r="D117" s="2" t="s">
        <v>201</v>
      </c>
      <c r="E117" s="2" t="s">
        <v>149</v>
      </c>
      <c r="F117" s="4">
        <f t="shared" si="4"/>
        <v>3.52</v>
      </c>
      <c r="G117" s="4">
        <v>1.8</v>
      </c>
    </row>
    <row r="118" spans="1:7" ht="15.75" customHeight="1" x14ac:dyDescent="0.3">
      <c r="A118" s="2" t="s">
        <v>176</v>
      </c>
      <c r="B118" s="3"/>
      <c r="C118" s="2" t="s">
        <v>202</v>
      </c>
      <c r="D118" s="2" t="s">
        <v>203</v>
      </c>
      <c r="E118" s="2" t="s">
        <v>188</v>
      </c>
      <c r="F118" s="4">
        <f t="shared" si="4"/>
        <v>4.8899999999999997</v>
      </c>
      <c r="G118" s="4">
        <v>2.5</v>
      </c>
    </row>
    <row r="119" spans="1:7" ht="15.75" customHeight="1" x14ac:dyDescent="0.3">
      <c r="A119" s="2" t="s">
        <v>176</v>
      </c>
      <c r="B119" s="3"/>
      <c r="C119" s="2" t="s">
        <v>204</v>
      </c>
      <c r="D119" s="2" t="s">
        <v>205</v>
      </c>
      <c r="E119" s="2" t="s">
        <v>332</v>
      </c>
      <c r="F119" s="4">
        <f t="shared" si="4"/>
        <v>2.93</v>
      </c>
      <c r="G119" s="4">
        <v>1.5</v>
      </c>
    </row>
    <row r="120" spans="1:7" ht="15.75" customHeight="1" x14ac:dyDescent="0.3">
      <c r="A120" s="2" t="s">
        <v>176</v>
      </c>
      <c r="B120" s="3"/>
      <c r="C120" s="2" t="s">
        <v>206</v>
      </c>
      <c r="D120" s="2" t="s">
        <v>207</v>
      </c>
      <c r="E120" s="2" t="s">
        <v>124</v>
      </c>
      <c r="F120" s="4">
        <f t="shared" si="4"/>
        <v>2.93</v>
      </c>
      <c r="G120" s="4">
        <v>1.5</v>
      </c>
    </row>
    <row r="121" spans="1:7" ht="15.75" customHeight="1" x14ac:dyDescent="0.3">
      <c r="A121" s="2" t="s">
        <v>176</v>
      </c>
      <c r="B121" s="3"/>
      <c r="C121" s="2" t="s">
        <v>208</v>
      </c>
      <c r="D121" s="2" t="s">
        <v>209</v>
      </c>
      <c r="E121" s="2" t="s">
        <v>124</v>
      </c>
      <c r="F121" s="4">
        <f t="shared" si="4"/>
        <v>2.93</v>
      </c>
      <c r="G121" s="4">
        <v>1.5</v>
      </c>
    </row>
    <row r="122" spans="1:7" ht="15.75" customHeight="1" x14ac:dyDescent="0.3">
      <c r="A122" s="2" t="s">
        <v>176</v>
      </c>
      <c r="B122" s="3"/>
      <c r="C122" s="2" t="s">
        <v>210</v>
      </c>
      <c r="D122" s="2" t="s">
        <v>211</v>
      </c>
      <c r="E122" s="2" t="s">
        <v>124</v>
      </c>
      <c r="F122" s="4">
        <f t="shared" si="4"/>
        <v>2.93</v>
      </c>
      <c r="G122" s="4">
        <v>1.5</v>
      </c>
    </row>
    <row r="123" spans="1:7" ht="15.75" customHeight="1" x14ac:dyDescent="0.3">
      <c r="A123" s="2" t="s">
        <v>26</v>
      </c>
      <c r="B123" s="3"/>
      <c r="C123" s="2" t="s">
        <v>302</v>
      </c>
      <c r="D123" s="2" t="s">
        <v>301</v>
      </c>
      <c r="E123" s="2" t="s">
        <v>19</v>
      </c>
      <c r="F123" s="4">
        <f t="shared" si="4"/>
        <v>3.91</v>
      </c>
      <c r="G123" s="4">
        <v>2</v>
      </c>
    </row>
    <row r="124" spans="1:7" ht="15.75" customHeight="1" x14ac:dyDescent="0.3">
      <c r="A124" s="2" t="s">
        <v>303</v>
      </c>
      <c r="B124" s="3"/>
      <c r="C124" s="2" t="s">
        <v>27</v>
      </c>
      <c r="D124" s="2" t="s">
        <v>28</v>
      </c>
      <c r="E124" s="2" t="s">
        <v>19</v>
      </c>
      <c r="F124" s="4">
        <f t="shared" si="4"/>
        <v>4.8899999999999997</v>
      </c>
      <c r="G124" s="4">
        <v>2.5</v>
      </c>
    </row>
    <row r="125" spans="1:7" ht="15.75" customHeight="1" x14ac:dyDescent="0.3">
      <c r="A125" s="2" t="s">
        <v>303</v>
      </c>
      <c r="B125" s="3"/>
      <c r="C125" s="2" t="s">
        <v>29</v>
      </c>
      <c r="D125" s="2" t="s">
        <v>30</v>
      </c>
      <c r="E125" s="2" t="s">
        <v>19</v>
      </c>
      <c r="F125" s="4">
        <f t="shared" si="4"/>
        <v>4.8899999999999997</v>
      </c>
      <c r="G125" s="4">
        <v>2.5</v>
      </c>
    </row>
    <row r="126" spans="1:7" ht="15.75" customHeight="1" x14ac:dyDescent="0.3">
      <c r="A126" s="2" t="s">
        <v>303</v>
      </c>
      <c r="B126" s="3"/>
      <c r="C126" s="2" t="s">
        <v>31</v>
      </c>
      <c r="D126" s="2" t="s">
        <v>32</v>
      </c>
      <c r="E126" s="2" t="s">
        <v>19</v>
      </c>
      <c r="F126" s="4">
        <f t="shared" si="4"/>
        <v>4.8899999999999997</v>
      </c>
      <c r="G126" s="4">
        <v>2.5</v>
      </c>
    </row>
    <row r="127" spans="1:7" ht="15.75" customHeight="1" x14ac:dyDescent="0.3">
      <c r="A127" s="2" t="s">
        <v>303</v>
      </c>
      <c r="B127" s="3"/>
      <c r="C127" s="2" t="s">
        <v>33</v>
      </c>
      <c r="D127" s="2" t="s">
        <v>34</v>
      </c>
      <c r="E127" s="2" t="s">
        <v>19</v>
      </c>
      <c r="F127" s="4">
        <f t="shared" si="4"/>
        <v>6.85</v>
      </c>
      <c r="G127" s="4">
        <v>3.5</v>
      </c>
    </row>
    <row r="128" spans="1:7" ht="15.75" customHeight="1" x14ac:dyDescent="0.3">
      <c r="A128" s="2" t="s">
        <v>303</v>
      </c>
      <c r="B128" s="3"/>
      <c r="C128" s="2" t="s">
        <v>35</v>
      </c>
      <c r="D128" s="2" t="s">
        <v>35</v>
      </c>
      <c r="E128" s="2" t="s">
        <v>19</v>
      </c>
      <c r="F128" s="4">
        <f t="shared" si="4"/>
        <v>4.8899999999999997</v>
      </c>
      <c r="G128" s="4">
        <v>2.5</v>
      </c>
    </row>
    <row r="129" spans="1:7" ht="15.75" customHeight="1" x14ac:dyDescent="0.3">
      <c r="A129" s="2" t="s">
        <v>303</v>
      </c>
      <c r="B129" s="3"/>
      <c r="C129" s="2" t="s">
        <v>36</v>
      </c>
      <c r="D129" s="2" t="s">
        <v>37</v>
      </c>
      <c r="E129" s="2" t="s">
        <v>19</v>
      </c>
      <c r="F129" s="4">
        <f t="shared" si="4"/>
        <v>4.8899999999999997</v>
      </c>
      <c r="G129" s="4">
        <v>2.5</v>
      </c>
    </row>
    <row r="130" spans="1:7" ht="15.75" customHeight="1" x14ac:dyDescent="0.3">
      <c r="A130" s="2" t="s">
        <v>303</v>
      </c>
      <c r="B130" s="3"/>
      <c r="C130" s="2" t="s">
        <v>38</v>
      </c>
      <c r="D130" s="2" t="s">
        <v>39</v>
      </c>
      <c r="E130" s="2" t="s">
        <v>19</v>
      </c>
      <c r="F130" s="4">
        <f t="shared" si="4"/>
        <v>4.8899999999999997</v>
      </c>
      <c r="G130" s="4">
        <v>2.5</v>
      </c>
    </row>
    <row r="131" spans="1:7" ht="15.75" customHeight="1" x14ac:dyDescent="0.3">
      <c r="A131" s="2" t="s">
        <v>303</v>
      </c>
      <c r="B131" s="3"/>
      <c r="C131" s="2" t="s">
        <v>40</v>
      </c>
      <c r="D131" s="2" t="s">
        <v>41</v>
      </c>
      <c r="E131" s="2" t="s">
        <v>19</v>
      </c>
      <c r="F131" s="4">
        <f t="shared" si="4"/>
        <v>4.8899999999999997</v>
      </c>
      <c r="G131" s="4">
        <v>2.5</v>
      </c>
    </row>
    <row r="132" spans="1:7" ht="15.75" customHeight="1" x14ac:dyDescent="0.3">
      <c r="A132" s="2" t="s">
        <v>303</v>
      </c>
      <c r="B132" s="3"/>
      <c r="C132" s="2" t="s">
        <v>42</v>
      </c>
      <c r="D132" s="2" t="s">
        <v>43</v>
      </c>
      <c r="E132" s="2" t="s">
        <v>19</v>
      </c>
      <c r="F132" s="4">
        <f t="shared" si="4"/>
        <v>6.85</v>
      </c>
      <c r="G132" s="4">
        <v>3.5</v>
      </c>
    </row>
    <row r="133" spans="1:7" ht="15.75" customHeight="1" x14ac:dyDescent="0.3">
      <c r="A133" s="2" t="s">
        <v>303</v>
      </c>
      <c r="B133" s="3"/>
      <c r="C133" s="2" t="s">
        <v>44</v>
      </c>
      <c r="D133" s="2" t="s">
        <v>45</v>
      </c>
      <c r="E133" s="2" t="s">
        <v>19</v>
      </c>
      <c r="F133" s="4">
        <f t="shared" si="4"/>
        <v>4.8899999999999997</v>
      </c>
      <c r="G133" s="4">
        <v>2.5</v>
      </c>
    </row>
    <row r="134" spans="1:7" ht="15.75" customHeight="1" x14ac:dyDescent="0.3">
      <c r="A134" s="2" t="s">
        <v>303</v>
      </c>
      <c r="B134" s="3"/>
      <c r="C134" s="2" t="s">
        <v>46</v>
      </c>
      <c r="D134" s="2" t="s">
        <v>47</v>
      </c>
      <c r="E134" s="2" t="s">
        <v>19</v>
      </c>
      <c r="F134" s="4">
        <f t="shared" si="4"/>
        <v>4.8899999999999997</v>
      </c>
      <c r="G134" s="4">
        <v>2.5</v>
      </c>
    </row>
    <row r="135" spans="1:7" ht="15.75" customHeight="1" x14ac:dyDescent="0.3">
      <c r="A135" s="2" t="s">
        <v>48</v>
      </c>
      <c r="B135" s="3"/>
      <c r="C135" s="2" t="s">
        <v>49</v>
      </c>
      <c r="D135" s="2" t="s">
        <v>50</v>
      </c>
      <c r="E135" s="2" t="s">
        <v>51</v>
      </c>
      <c r="F135" s="4">
        <f t="shared" si="4"/>
        <v>3.91</v>
      </c>
      <c r="G135" s="4">
        <v>2</v>
      </c>
    </row>
    <row r="136" spans="1:7" ht="15.75" customHeight="1" x14ac:dyDescent="0.3">
      <c r="A136" s="2" t="s">
        <v>48</v>
      </c>
      <c r="B136" s="3"/>
      <c r="C136" s="2" t="s">
        <v>52</v>
      </c>
      <c r="D136" s="2" t="s">
        <v>53</v>
      </c>
      <c r="E136" s="2" t="s">
        <v>51</v>
      </c>
      <c r="F136" s="4">
        <f t="shared" si="4"/>
        <v>5.87</v>
      </c>
      <c r="G136" s="4">
        <v>3</v>
      </c>
    </row>
    <row r="137" spans="1:7" ht="15.75" customHeight="1" x14ac:dyDescent="0.3">
      <c r="A137" s="2" t="s">
        <v>48</v>
      </c>
      <c r="B137" s="3"/>
      <c r="C137" s="2" t="s">
        <v>54</v>
      </c>
      <c r="D137" s="2" t="s">
        <v>55</v>
      </c>
      <c r="E137" s="2" t="s">
        <v>51</v>
      </c>
      <c r="F137" s="4">
        <f t="shared" si="4"/>
        <v>5.87</v>
      </c>
      <c r="G137" s="4">
        <v>3</v>
      </c>
    </row>
    <row r="138" spans="1:7" ht="15.75" customHeight="1" x14ac:dyDescent="0.3"/>
    <row r="139" spans="1:7" ht="15.75" customHeight="1" x14ac:dyDescent="0.3"/>
    <row r="140" spans="1:7" ht="15.75" customHeight="1" x14ac:dyDescent="0.3"/>
    <row r="141" spans="1:7" ht="15.75" customHeight="1" x14ac:dyDescent="0.3"/>
    <row r="142" spans="1:7" ht="15.75" customHeight="1" x14ac:dyDescent="0.3"/>
    <row r="143" spans="1:7" ht="15.75" customHeight="1" x14ac:dyDescent="0.3"/>
    <row r="144" spans="1:7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</sheetData>
  <sortState xmlns:xlrd2="http://schemas.microsoft.com/office/spreadsheetml/2017/richdata2" ref="A2:G1010">
    <sortCondition ref="A2:A1010"/>
  </sortState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Cafe Menu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Drazhev</cp:lastModifiedBy>
  <dcterms:created xsi:type="dcterms:W3CDTF">2026-04-26T10:14:44Z</dcterms:created>
  <dcterms:modified xsi:type="dcterms:W3CDTF">2026-04-27T08:43:46Z</dcterms:modified>
</cp:coreProperties>
</file>